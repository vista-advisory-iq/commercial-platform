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elenergyy-my.sharepoint.com/personal/temitope_oluwasanu_del_energy1/Documents/Business Development Folder/Pipeline Tracker and commerical Operation/"/>
    </mc:Choice>
  </mc:AlternateContent>
  <xr:revisionPtr revIDLastSave="229" documentId="11_E1CECF356F2611704960001BB5C6727986785FBF" xr6:coauthVersionLast="47" xr6:coauthVersionMax="47" xr10:uidLastSave="{5FB17D1C-160D-4468-B05F-DDFE29D41272}"/>
  <bookViews>
    <workbookView xWindow="-108" yWindow="-108" windowWidth="27864" windowHeight="17928" tabRatio="748" activeTab="5" xr2:uid="{00000000-000D-0000-FFFF-FFFF00000000}"/>
  </bookViews>
  <sheets>
    <sheet name="Dashboard" sheetId="1" r:id="rId1"/>
    <sheet name="Lists &amp; Data Validation" sheetId="2" r:id="rId2"/>
    <sheet name="Opportunity Pipeline Tracker" sheetId="3" r:id="rId3"/>
    <sheet name="Commercial Operations Tracker" sheetId="4" r:id="rId4"/>
    <sheet name="Gas Business Tracker" sheetId="5" r:id="rId5"/>
    <sheet name="Power Business Tracker" sheetId="6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E5" i="3" l="1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4" i="3"/>
  <c r="U4" i="6" l="1"/>
  <c r="F4" i="4"/>
  <c r="U21" i="6" l="1"/>
  <c r="G21" i="6" s="1"/>
  <c r="U20" i="6"/>
  <c r="G20" i="6" s="1"/>
  <c r="U19" i="6"/>
  <c r="G19" i="6" s="1"/>
  <c r="U18" i="6"/>
  <c r="G18" i="6" s="1"/>
  <c r="U17" i="6"/>
  <c r="G17" i="6" s="1"/>
  <c r="U16" i="6"/>
  <c r="G16" i="6" s="1"/>
  <c r="U15" i="6"/>
  <c r="G15" i="6" s="1"/>
  <c r="U14" i="6"/>
  <c r="G14" i="6" s="1"/>
  <c r="U13" i="6"/>
  <c r="G13" i="6" s="1"/>
  <c r="U12" i="6"/>
  <c r="G12" i="6" s="1"/>
  <c r="U11" i="6"/>
  <c r="G11" i="6" s="1"/>
  <c r="U10" i="6"/>
  <c r="G10" i="6" s="1"/>
  <c r="U9" i="6"/>
  <c r="G9" i="6" s="1"/>
  <c r="U8" i="6"/>
  <c r="G8" i="6" s="1"/>
  <c r="U7" i="6"/>
  <c r="G7" i="6" s="1"/>
  <c r="U6" i="6"/>
  <c r="G6" i="6" s="1"/>
  <c r="U5" i="6"/>
  <c r="G5" i="6" s="1"/>
  <c r="G4" i="6"/>
  <c r="S8" i="5"/>
  <c r="G8" i="5" s="1"/>
  <c r="S7" i="5"/>
  <c r="G7" i="5" s="1"/>
  <c r="S6" i="5"/>
  <c r="G6" i="5" s="1"/>
  <c r="S5" i="5"/>
  <c r="G5" i="5" s="1"/>
  <c r="S4" i="5"/>
  <c r="G4" i="5" s="1"/>
  <c r="F11" i="4"/>
  <c r="F10" i="4"/>
  <c r="F9" i="4"/>
  <c r="F8" i="4"/>
  <c r="F7" i="4"/>
  <c r="F6" i="4"/>
  <c r="F5" i="4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C36" i="1"/>
  <c r="C35" i="1"/>
  <c r="C34" i="1"/>
  <c r="F32" i="1"/>
  <c r="C33" i="1"/>
  <c r="F31" i="1"/>
  <c r="C32" i="1"/>
  <c r="F30" i="1"/>
  <c r="C31" i="1"/>
  <c r="F29" i="1"/>
  <c r="C30" i="1"/>
  <c r="F28" i="1"/>
  <c r="C29" i="1"/>
  <c r="F27" i="1"/>
  <c r="C28" i="1"/>
  <c r="F26" i="1"/>
  <c r="F25" i="1"/>
  <c r="F24" i="1"/>
  <c r="C24" i="1"/>
  <c r="F23" i="1"/>
  <c r="C23" i="1"/>
  <c r="F22" i="1"/>
  <c r="C22" i="1"/>
  <c r="F21" i="1"/>
  <c r="C21" i="1"/>
  <c r="F20" i="1"/>
  <c r="C20" i="1"/>
  <c r="F19" i="1"/>
  <c r="C19" i="1"/>
  <c r="L15" i="1"/>
  <c r="J15" i="1"/>
  <c r="H15" i="1"/>
  <c r="F15" i="1"/>
  <c r="D15" i="1"/>
  <c r="L11" i="1"/>
  <c r="H11" i="1"/>
  <c r="F11" i="1"/>
  <c r="D11" i="1"/>
  <c r="B11" i="1"/>
  <c r="L7" i="1"/>
  <c r="J7" i="1"/>
  <c r="H7" i="1"/>
  <c r="F7" i="1"/>
  <c r="D7" i="1"/>
  <c r="B7" i="1"/>
  <c r="J11" i="1" l="1"/>
  <c r="B15" i="1"/>
</calcChain>
</file>

<file path=xl/sharedStrings.xml><?xml version="1.0" encoding="utf-8"?>
<sst xmlns="http://schemas.openxmlformats.org/spreadsheetml/2006/main" count="1023" uniqueCount="356">
  <si>
    <t>DEL Commercial Department  —  Management Dashboard</t>
  </si>
  <si>
    <t xml:space="preserve">Auto-calculated from the Opportunity Pipeline &amp; Commercial Operations trackers. </t>
  </si>
  <si>
    <t>PIPELINE OVERVIEW</t>
  </si>
  <si>
    <t>Total Opportunities</t>
  </si>
  <si>
    <t>Active</t>
  </si>
  <si>
    <t>Converted</t>
  </si>
  <si>
    <t>Nurture</t>
  </si>
  <si>
    <t>Deferred</t>
  </si>
  <si>
    <t>Rejected / Dead</t>
  </si>
  <si>
    <t>PIPELINE HEALTH</t>
  </si>
  <si>
    <t>Awaiting Customer Data</t>
  </si>
  <si>
    <t>Awaiting Internal Review</t>
  </si>
  <si>
    <t>Overdue / Delayed Actions</t>
  </si>
  <si>
    <t>Conversion Rate</t>
  </si>
  <si>
    <t>Avg Cycle Time (days)</t>
  </si>
  <si>
    <t>Cluster Potential</t>
  </si>
  <si>
    <t>COMMERCIAL OPERATIONS</t>
  </si>
  <si>
    <t>Contracts Expiring ≤ 90 days</t>
  </si>
  <si>
    <t>Contracts Expired</t>
  </si>
  <si>
    <t>Tariff Reviews Overdue</t>
  </si>
  <si>
    <t>KYC Pending</t>
  </si>
  <si>
    <t>High-Priority Issues</t>
  </si>
  <si>
    <t>Customers in Commercial Ops</t>
  </si>
  <si>
    <t>OPPORTUNITIES BY BUSINESS LINE</t>
  </si>
  <si>
    <t>OPPORTUNITIES BY STAGE</t>
  </si>
  <si>
    <t>Business Line</t>
  </si>
  <si>
    <t>Count</t>
  </si>
  <si>
    <t>Stage</t>
  </si>
  <si>
    <t>Power</t>
  </si>
  <si>
    <t>Lead Received</t>
  </si>
  <si>
    <t>Captive Power</t>
  </si>
  <si>
    <t>Lead Logged</t>
  </si>
  <si>
    <t>Gas Retail</t>
  </si>
  <si>
    <t>Initial Screening</t>
  </si>
  <si>
    <t>Autogas/CNG</t>
  </si>
  <si>
    <t>Knockout Test</t>
  </si>
  <si>
    <t>Collaboration</t>
  </si>
  <si>
    <t>NDA / Data Request</t>
  </si>
  <si>
    <t>Venture</t>
  </si>
  <si>
    <t>Site Reconnaissance</t>
  </si>
  <si>
    <t>OWNER WORKLOAD (open items)</t>
  </si>
  <si>
    <t>Energy Audit</t>
  </si>
  <si>
    <t>Owner</t>
  </si>
  <si>
    <t>Items</t>
  </si>
  <si>
    <t>Indicative Tariff / Solution</t>
  </si>
  <si>
    <t>Mide (Commercial Manager)</t>
  </si>
  <si>
    <t>Proposal / Term Sheet</t>
  </si>
  <si>
    <t>Temitope</t>
  </si>
  <si>
    <t>Negotiation</t>
  </si>
  <si>
    <t>Damilare</t>
  </si>
  <si>
    <t>Contract Signing</t>
  </si>
  <si>
    <t>Abdullateef</t>
  </si>
  <si>
    <t>Onboarding / KYC</t>
  </si>
  <si>
    <t>BD Team</t>
  </si>
  <si>
    <t>Implementation</t>
  </si>
  <si>
    <t>Commercial Ops</t>
  </si>
  <si>
    <t>Revenue Generation</t>
  </si>
  <si>
    <t>Legal</t>
  </si>
  <si>
    <t>Technical</t>
  </si>
  <si>
    <t>Finance</t>
  </si>
  <si>
    <t xml:space="preserve">Dropdown Lists &amp; Data Validation  </t>
  </si>
  <si>
    <t>BusinessLine</t>
  </si>
  <si>
    <t>OppType</t>
  </si>
  <si>
    <t>Source</t>
  </si>
  <si>
    <t>Knockout</t>
  </si>
  <si>
    <t>Classification</t>
  </si>
  <si>
    <t>HML</t>
  </si>
  <si>
    <t>YesNo</t>
  </si>
  <si>
    <t>Priority</t>
  </si>
  <si>
    <t>RevImpact</t>
  </si>
  <si>
    <t>ContractType</t>
  </si>
  <si>
    <t>ContractStatus</t>
  </si>
  <si>
    <t>RenewalStatus</t>
  </si>
  <si>
    <t>TariffStatus</t>
  </si>
  <si>
    <t>KYC</t>
  </si>
  <si>
    <t>Onboarding</t>
  </si>
  <si>
    <t>Metering</t>
  </si>
  <si>
    <t>Payment</t>
  </si>
  <si>
    <t>Non-tender</t>
  </si>
  <si>
    <t>Direct BD</t>
  </si>
  <si>
    <t>Pass</t>
  </si>
  <si>
    <t>High</t>
  </si>
  <si>
    <t>Yes</t>
  </si>
  <si>
    <t>On Track</t>
  </si>
  <si>
    <t>PPA</t>
  </si>
  <si>
    <t>Not Due</t>
  </si>
  <si>
    <t>Up to Date</t>
  </si>
  <si>
    <t>Complete</t>
  </si>
  <si>
    <t>Installed &amp; Commissioned</t>
  </si>
  <si>
    <t>Current</t>
  </si>
  <si>
    <t>Tender</t>
  </si>
  <si>
    <t>Fail</t>
  </si>
  <si>
    <t>Medium</t>
  </si>
  <si>
    <t>No</t>
  </si>
  <si>
    <t>At Risk</t>
  </si>
  <si>
    <t>GSPA</t>
  </si>
  <si>
    <t>Expiring Soon</t>
  </si>
  <si>
    <t>Due Soon</t>
  </si>
  <si>
    <t>Due</t>
  </si>
  <si>
    <t>In Progress</t>
  </si>
  <si>
    <t>Installed</t>
  </si>
  <si>
    <t>Minor Arrears</t>
  </si>
  <si>
    <t>Cluster / Strategic</t>
  </si>
  <si>
    <t>Third-Party Finder</t>
  </si>
  <si>
    <t>Pending</t>
  </si>
  <si>
    <t>Low</t>
  </si>
  <si>
    <t>Delayed</t>
  </si>
  <si>
    <t>Captive Power Agreement</t>
  </si>
  <si>
    <t>Expired</t>
  </si>
  <si>
    <t>Overdue</t>
  </si>
  <si>
    <t>In Arrears</t>
  </si>
  <si>
    <t>Existing Customer Expansion</t>
  </si>
  <si>
    <t>Rejected</t>
  </si>
  <si>
    <t>Blocked</t>
  </si>
  <si>
    <t>None</t>
  </si>
  <si>
    <t>Term Sheet</t>
  </si>
  <si>
    <t>In Negotiation</t>
  </si>
  <si>
    <t>Under Review</t>
  </si>
  <si>
    <t>Not Started</t>
  </si>
  <si>
    <t>On Prepayment</t>
  </si>
  <si>
    <t>Strategic Partnership</t>
  </si>
  <si>
    <t>On Hold</t>
  </si>
  <si>
    <t>Autogas Supply Agreement</t>
  </si>
  <si>
    <t>Draft</t>
  </si>
  <si>
    <t>Renewed</t>
  </si>
  <si>
    <t>Applied</t>
  </si>
  <si>
    <t>N/A</t>
  </si>
  <si>
    <t>Dead / Silent</t>
  </si>
  <si>
    <t>MOU / NDA</t>
  </si>
  <si>
    <t>Renewal Due</t>
  </si>
  <si>
    <t>Board</t>
  </si>
  <si>
    <t>Failed Knockout</t>
  </si>
  <si>
    <t>These lists feed the dropdowns and conditional formatting across all sheets. Edit a list here to update the choices everywhere. Add new owners, business lines or stages as needed.</t>
  </si>
  <si>
    <t xml:space="preserve">DEL Commercial Department  —  Opportunity Pipeline Tracker </t>
  </si>
  <si>
    <t>Opportunity ID</t>
  </si>
  <si>
    <t>Customer / Project Name</t>
  </si>
  <si>
    <t>Opportunity Type</t>
  </si>
  <si>
    <t>Finder / Originator</t>
  </si>
  <si>
    <t>Location</t>
  </si>
  <si>
    <t>Estimated Load / Demand</t>
  </si>
  <si>
    <t>Est. Revenue Potential (₦/yr)</t>
  </si>
  <si>
    <t>Date Received</t>
  </si>
  <si>
    <t>Current Stage</t>
  </si>
  <si>
    <t>Knockout Result</t>
  </si>
  <si>
    <t>Commercial Readiness</t>
  </si>
  <si>
    <t>Technical Feasibility</t>
  </si>
  <si>
    <t>Strategic Fit</t>
  </si>
  <si>
    <t>Key Issue / Delay</t>
  </si>
  <si>
    <t>Next Action</t>
  </si>
  <si>
    <t>Action Owner</t>
  </si>
  <si>
    <t>Due Date</t>
  </si>
  <si>
    <t>Last Engagement Date</t>
  </si>
  <si>
    <t>Days Since Last Engagement</t>
  </si>
  <si>
    <t>Probability of Conversion</t>
  </si>
  <si>
    <t>Status Comment</t>
  </si>
  <si>
    <t>Reason Closed / Deferred</t>
  </si>
  <si>
    <t>Mgmt Decision Required?</t>
  </si>
  <si>
    <t>Support Required</t>
  </si>
  <si>
    <t>Final Outcome</t>
  </si>
  <si>
    <t>Cycle Time (days)</t>
  </si>
  <si>
    <t>OPP-001</t>
  </si>
  <si>
    <t>Stanbic IBTC (WCC)</t>
  </si>
  <si>
    <t>Operating.</t>
  </si>
  <si>
    <t>OPP-002</t>
  </si>
  <si>
    <t>UBA PLC</t>
  </si>
  <si>
    <t>PPA addendum (tariff terms) pending</t>
  </si>
  <si>
    <t>Conclude PPA addendum on tariff &amp; commercial terms</t>
  </si>
  <si>
    <t>Negotiating an addendum to the PPA with tariff and other commercial considerations.</t>
  </si>
  <si>
    <t>Legal, Commercial</t>
  </si>
  <si>
    <t>OPP-003</t>
  </si>
  <si>
    <t>Sterling Bank PLC</t>
  </si>
  <si>
    <t>Backup-supply scope; IPL2 connection</t>
  </si>
  <si>
    <t>Progress backup-supply (~4hr) renegotiation</t>
  </si>
  <si>
    <t>Early-stage renegotiation. Customer connected to IPL2. Requesting backup supply (c.4hrs).</t>
  </si>
  <si>
    <t>OPP-004</t>
  </si>
  <si>
    <t>Stanbic IBTC (Windsor Building)</t>
  </si>
  <si>
    <t>Contract novation pending</t>
  </si>
  <si>
    <t>Complete contract novation; advance commercial terms</t>
  </si>
  <si>
    <t>Completion of the contract novation and commercial discussions are in progress.</t>
  </si>
  <si>
    <t>OPP-005</t>
  </si>
  <si>
    <t>Periwinkle Residences</t>
  </si>
  <si>
    <t>OPP-006</t>
  </si>
  <si>
    <t>Orange Island Residences</t>
  </si>
  <si>
    <t>OPP-007</t>
  </si>
  <si>
    <t>Purple Mall</t>
  </si>
  <si>
    <t>Advance commercial discussions toward term sheet</t>
  </si>
  <si>
    <t>Commercial discussions are in progress.</t>
  </si>
  <si>
    <t>OPP-008</t>
  </si>
  <si>
    <t>Sweetco Power</t>
  </si>
  <si>
    <t>Contract expired; tariff escalation overdue</t>
  </si>
  <si>
    <t>Prepare contract renewal &amp; tariff escalation plan</t>
  </si>
  <si>
    <t>Legal (contract), Commercial (tariff)</t>
  </si>
  <si>
    <t>Converted – Operating (renewal due)</t>
  </si>
  <si>
    <t>OPP-009</t>
  </si>
  <si>
    <t>Renaissance</t>
  </si>
  <si>
    <t>PPA execution pending</t>
  </si>
  <si>
    <t>Finalise and sign PPA (target May 2026)</t>
  </si>
  <si>
    <t>PPA to be signed in May 2026.</t>
  </si>
  <si>
    <t>OPP-010</t>
  </si>
  <si>
    <t>Re-insurance House</t>
  </si>
  <si>
    <t>Use completed energy audit to issue indicative solution/tariff</t>
  </si>
  <si>
    <t>Energy audit completed, commercial discussions are in progress.</t>
  </si>
  <si>
    <t>OPP-011</t>
  </si>
  <si>
    <t>Lekki Port</t>
  </si>
  <si>
    <t>Tender decision pending</t>
  </si>
  <si>
    <t>Await tender outcome; sustain technical alignment</t>
  </si>
  <si>
    <t>Bid submission completed, technical alignment discussion completed.</t>
  </si>
  <si>
    <t>OPP-012</t>
  </si>
  <si>
    <t>FCMB</t>
  </si>
  <si>
    <t>Validate scope/scale (portfolio)</t>
  </si>
  <si>
    <t>Validate scope and progress commercial discussions</t>
  </si>
  <si>
    <t>Technical (scope)</t>
  </si>
  <si>
    <t>OPP-013</t>
  </si>
  <si>
    <t>NRC</t>
  </si>
  <si>
    <t>Deferred — revisit if requirements change</t>
  </si>
  <si>
    <t>Stepped down.</t>
  </si>
  <si>
    <t>Customer stepped down</t>
  </si>
  <si>
    <t>OPP-014</t>
  </si>
  <si>
    <t>Natcom</t>
  </si>
  <si>
    <t>Complete energy audit</t>
  </si>
  <si>
    <t>Energy Audit in progress.</t>
  </si>
  <si>
    <t>OPP-015</t>
  </si>
  <si>
    <t>Pillar Oil</t>
  </si>
  <si>
    <t>Progress techno-commercial discussions; schedule energy audit</t>
  </si>
  <si>
    <t>Techno-commercial discussions.</t>
  </si>
  <si>
    <t>OPP-016</t>
  </si>
  <si>
    <t>Tranquil and Quest Hospital</t>
  </si>
  <si>
    <t>Convert reconnaissance into energy audit</t>
  </si>
  <si>
    <t>Reconnaissance survey conducted.</t>
  </si>
  <si>
    <t>OPP-017</t>
  </si>
  <si>
    <t>Lakowe Resort</t>
  </si>
  <si>
    <t>Await bid outcome</t>
  </si>
  <si>
    <t>Bid submission completed.</t>
  </si>
  <si>
    <t>OPP-018</t>
  </si>
  <si>
    <t>Sweetco Gas</t>
  </si>
  <si>
    <t>Operating (Gas to Power and Heat).</t>
  </si>
  <si>
    <t>Converted – Operating</t>
  </si>
  <si>
    <t>OPP-019</t>
  </si>
  <si>
    <t>Starium Detergents FZE</t>
  </si>
  <si>
    <t>OPP-020</t>
  </si>
  <si>
    <t>Rumbu Industries Limited</t>
  </si>
  <si>
    <t>Operating (Gas to Power).</t>
  </si>
  <si>
    <t>OPP-021</t>
  </si>
  <si>
    <t>Dangote</t>
  </si>
  <si>
    <t>Viathan</t>
  </si>
  <si>
    <t>Advance autogas opportunity with partner (Viathan) toward contract</t>
  </si>
  <si>
    <t>A new opportunity we are exploring with Viathan.</t>
  </si>
  <si>
    <t>OPP-022</t>
  </si>
  <si>
    <t>Transgrid / IBEDC Cluster</t>
  </si>
  <si>
    <t>Cluster structuring &amp; commercial model</t>
  </si>
  <si>
    <t>Advance cluster structuring with Transgrid/IBEDC; report weekly</t>
  </si>
  <si>
    <t>Strategic cluster/distribution opportunity under active structuring.</t>
  </si>
  <si>
    <t>Technical, Legal, Strategy</t>
  </si>
  <si>
    <t>Commercial Operations Tracker  —  contracts, tariffs, renewals, KYC &amp; customer issues</t>
  </si>
  <si>
    <t>Customer Name</t>
  </si>
  <si>
    <t>Contract Type</t>
  </si>
  <si>
    <t>Contract Start Date</t>
  </si>
  <si>
    <t>Contract Expiry Date</t>
  </si>
  <si>
    <t>Days to Expiry</t>
  </si>
  <si>
    <t>Renewal Status</t>
  </si>
  <si>
    <t>Tariff Review Date</t>
  </si>
  <si>
    <t>Tariff Escalation Status</t>
  </si>
  <si>
    <t>KYC Status</t>
  </si>
  <si>
    <t>Onboarding Status</t>
  </si>
  <si>
    <t>Current Commercial Issue</t>
  </si>
  <si>
    <t>Revenue Impact</t>
  </si>
  <si>
    <t>Operational Issue</t>
  </si>
  <si>
    <t>Customer Data Required</t>
  </si>
  <si>
    <t>Internal Owner</t>
  </si>
  <si>
    <t>Escalation Point</t>
  </si>
  <si>
    <t>Status</t>
  </si>
  <si>
    <t>Comment / Update</t>
  </si>
  <si>
    <t>Commercial Manager (Mide)</t>
  </si>
  <si>
    <t>Document onboarding/KYC checklist (capture lessons)</t>
  </si>
  <si>
    <t>Operating. Use as KYC/onboarding reference case.</t>
  </si>
  <si>
    <t>New contract &amp; tariff escalation pending</t>
  </si>
  <si>
    <t>Renewal terms &amp; escalated tariff schedule</t>
  </si>
  <si>
    <t>Contract expired; tariff escalation overdue. Priority renewal.</t>
  </si>
  <si>
    <t>Routine monitoring of volume offtake &amp; billing</t>
  </si>
  <si>
    <t>Confirm contract start &amp; tariff review dates</t>
  </si>
  <si>
    <t>Routine monitoring of consumption &amp; billing</t>
  </si>
  <si>
    <t>PPA (addendum in progress)</t>
  </si>
  <si>
    <t>PPA addendum (tariff) under negotiation</t>
  </si>
  <si>
    <t>Agreed addendum terms</t>
  </si>
  <si>
    <t>Embedded plant live; commercial addendum in negotiation.</t>
  </si>
  <si>
    <t xml:space="preserve">Gas Business Tracker  —  Retail Gas, CNG &amp; Autogas  </t>
  </si>
  <si>
    <t>S/N</t>
  </si>
  <si>
    <t>Customer / Opportunity</t>
  </si>
  <si>
    <t>Plant / Solution Type</t>
  </si>
  <si>
    <t>Utilisation</t>
  </si>
  <si>
    <t>Est. Vol (SCM/day)</t>
  </si>
  <si>
    <t>Commercial Operations Date</t>
  </si>
  <si>
    <t>Initiated Engagement
(0.01)</t>
  </si>
  <si>
    <t>Reconnaissance Survey
(0.02)</t>
  </si>
  <si>
    <t>Commercial Negotiations
(0.15)</t>
  </si>
  <si>
    <t>Signed TermSheet
(0.30)</t>
  </si>
  <si>
    <t>DED
(0.40)</t>
  </si>
  <si>
    <t>Signed GSPA
(0.60)</t>
  </si>
  <si>
    <t>Vendor Selection
(0.70)</t>
  </si>
  <si>
    <t>Connection Completed
(0.90)</t>
  </si>
  <si>
    <t>Revenue Generation
(1.00)</t>
  </si>
  <si>
    <t>Score</t>
  </si>
  <si>
    <t>Contract Status</t>
  </si>
  <si>
    <t>Contract Expiry</t>
  </si>
  <si>
    <t>Current Tariff</t>
  </si>
  <si>
    <t>Daily / Monthly Volume</t>
  </si>
  <si>
    <t>Take-or-Pay Obligation</t>
  </si>
  <si>
    <t>Payment Status</t>
  </si>
  <si>
    <t>Commercial Issue</t>
  </si>
  <si>
    <t>Escalation Required?</t>
  </si>
  <si>
    <t>Comments</t>
  </si>
  <si>
    <t>Compressed Natural Gas</t>
  </si>
  <si>
    <t>Gas to Power and Heat</t>
  </si>
  <si>
    <t>Yes (confirm schedule)</t>
  </si>
  <si>
    <t>Monitor offtake &amp; billing</t>
  </si>
  <si>
    <t>Gas to Power</t>
  </si>
  <si>
    <t>Autogas</t>
  </si>
  <si>
    <t>Advance with partner (Viathan) toward contract</t>
  </si>
  <si>
    <t xml:space="preserve">Power Business Tracker  —  Retail, Embedded &amp; Captive Power </t>
  </si>
  <si>
    <t>Energy Type</t>
  </si>
  <si>
    <t>Est. Required Capacity (kW)</t>
  </si>
  <si>
    <t>Energy Audit
(0.03)</t>
  </si>
  <si>
    <t>Indicative FEED
(0.05)</t>
  </si>
  <si>
    <t>Signed TermSheet / Award
(0.30)</t>
  </si>
  <si>
    <t>Signed PPA
(0.60)</t>
  </si>
  <si>
    <t>Installed Capacity (kW)</t>
  </si>
  <si>
    <t>Daily / Monthly Consumption</t>
  </si>
  <si>
    <t>Metering Status</t>
  </si>
  <si>
    <t>IPL-Embedded</t>
  </si>
  <si>
    <t>Gas</t>
  </si>
  <si>
    <t>Advance to next stage gate</t>
  </si>
  <si>
    <t>Negotiating addendum to the PPA (tariff &amp; commercial).</t>
  </si>
  <si>
    <t>Early-stage renegotiation; backup supply (~4hr); connected to IPL2.</t>
  </si>
  <si>
    <t>Contract novation &amp; commercial discussions in progress.</t>
  </si>
  <si>
    <t>PIPP-Embedded</t>
  </si>
  <si>
    <t>Commercial discussions in progress.</t>
  </si>
  <si>
    <t>Captive</t>
  </si>
  <si>
    <t>Operating. Contract renewal &amp; tariff escalation due.</t>
  </si>
  <si>
    <t>Finalise &amp; sign PPA</t>
  </si>
  <si>
    <t>Energy audit completed; commercial discussions in progress.</t>
  </si>
  <si>
    <t>Bid submission completed; technical alignment completed.</t>
  </si>
  <si>
    <t>Energy audit in progress.</t>
  </si>
  <si>
    <t>Anergi</t>
  </si>
  <si>
    <t>CEO</t>
  </si>
  <si>
    <t>QR Media</t>
  </si>
  <si>
    <t xml:space="preserve"> </t>
  </si>
  <si>
    <t>Non- tender</t>
  </si>
  <si>
    <t>Referral - Existing customers</t>
  </si>
  <si>
    <t>Venture (JVs, Co-Investment, Consortium)</t>
  </si>
  <si>
    <t>Internal (DEL Non- comm.)</t>
  </si>
  <si>
    <t>Lead Received/Logged</t>
  </si>
  <si>
    <t>Screening (Knockout Test)</t>
  </si>
  <si>
    <t xml:space="preserve">Dead </t>
  </si>
  <si>
    <t>Rev. Gen. Status</t>
  </si>
  <si>
    <t>Expected Conver.  Date</t>
  </si>
  <si>
    <t>Final Outcome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</si>
</sst>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d\ mmm\ yyyy"/>
    <numFmt numFmtId="166" formatCode="0;;\-"/>
  </numFmts>
  <fonts count="14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color rgb="FF1F3864"/>
      <name val="Calibri"/>
      <family val="2"/>
    </font>
    <font>
      <b/>
      <sz val="9"/>
      <color rgb="FFFFFFFF"/>
      <name val="Calibri"/>
      <family val="2"/>
    </font>
    <font>
      <b/>
      <sz val="20"/>
      <color rgb="FF1F3864"/>
      <name val="Calibri"/>
      <family val="2"/>
    </font>
    <font>
      <b/>
      <sz val="11"/>
      <color rgb="FF2E7D32"/>
      <name val="Calibri"/>
      <family val="2"/>
    </font>
    <font>
      <sz val="9"/>
      <color rgb="FF000000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FF"/>
      <name val="Calibri"/>
      <family val="2"/>
    </font>
    <font>
      <b/>
      <sz val="8"/>
      <color rgb="FFFFFFFF"/>
      <name val="Calibri"/>
      <family val="2"/>
    </font>
    <font>
      <sz val="9"/>
      <color rgb="FF008000"/>
      <name val="Calibri"/>
      <family val="2"/>
    </font>
    <font>
      <sz val="9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E4C8A"/>
      </patternFill>
    </fill>
    <fill>
      <patternFill patternType="solid">
        <fgColor rgb="FF2E4C8A"/>
        <bgColor rgb="FF305496"/>
      </patternFill>
    </fill>
    <fill>
      <patternFill patternType="solid">
        <fgColor rgb="FF305496"/>
        <bgColor rgb="FF2E4C8A"/>
      </patternFill>
    </fill>
    <fill>
      <patternFill patternType="solid">
        <fgColor rgb="FF2E7D32"/>
        <bgColor rgb="FF008000"/>
      </patternFill>
    </fill>
    <fill>
      <patternFill patternType="solid">
        <fgColor rgb="FF1C7293"/>
        <bgColor rgb="FF008080"/>
      </patternFill>
    </fill>
    <fill>
      <patternFill patternType="solid">
        <fgColor rgb="FF808080"/>
        <bgColor rgb="FF878787"/>
      </patternFill>
    </fill>
    <fill>
      <patternFill patternType="solid">
        <fgColor rgb="FF9C0006"/>
        <bgColor rgb="FF800000"/>
      </patternFill>
    </fill>
    <fill>
      <patternFill patternType="solid">
        <fgColor rgb="FFDCE6F7"/>
        <bgColor rgb="FFD9D9D9"/>
      </patternFill>
    </fill>
    <fill>
      <patternFill patternType="solid">
        <fgColor rgb="FF9C6500"/>
        <bgColor rgb="FF993300"/>
      </patternFill>
    </fill>
    <fill>
      <patternFill patternType="solid">
        <fgColor rgb="FFF2F6FC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4" fillId="3" borderId="1" xfId="0" applyFont="1" applyFill="1" applyBorder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3" fontId="10" fillId="11" borderId="1" xfId="0" applyNumberFormat="1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right" vertical="center"/>
    </xf>
    <xf numFmtId="165" fontId="10" fillId="11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166" fontId="7" fillId="11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9" fontId="7" fillId="11" borderId="1" xfId="0" applyNumberFormat="1" applyFont="1" applyFill="1" applyBorder="1" applyAlignment="1">
      <alignment horizontal="center" vertical="center"/>
    </xf>
    <xf numFmtId="3" fontId="7" fillId="11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9" fontId="10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2" fillId="11" borderId="1" xfId="0" applyFont="1" applyFill="1" applyBorder="1" applyAlignment="1">
      <alignment horizontal="left" vertical="center"/>
    </xf>
    <xf numFmtId="9" fontId="10" fillId="11" borderId="1" xfId="0" applyNumberFormat="1" applyFont="1" applyFill="1" applyBorder="1" applyAlignment="1">
      <alignment horizontal="center" vertical="center"/>
    </xf>
    <xf numFmtId="9" fontId="9" fillId="11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0" xfId="0" applyFill="1"/>
    <xf numFmtId="0" fontId="4" fillId="3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0" fillId="0" borderId="2" xfId="0" applyBorder="1"/>
    <xf numFmtId="0" fontId="8" fillId="5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  <xf numFmtId="0" fontId="4" fillId="8" borderId="1" xfId="0" applyFont="1" applyFill="1" applyBorder="1" applyAlignment="1">
      <alignment horizontal="left" vertical="center" wrapText="1" indent="1"/>
    </xf>
    <xf numFmtId="1" fontId="5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 indent="1"/>
    </xf>
    <xf numFmtId="0" fontId="6" fillId="0" borderId="0" xfId="0" applyFont="1"/>
    <xf numFmtId="9" fontId="5" fillId="9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8" fillId="6" borderId="0" xfId="0" applyFont="1" applyFill="1" applyAlignment="1">
      <alignment horizontal="left" vertical="center" indent="1"/>
    </xf>
    <xf numFmtId="166" fontId="13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1C7293"/>
        <name val="Calibri"/>
        <charset val="1"/>
      </font>
      <fill>
        <patternFill>
          <bgColor rgb="FFB6E0E5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3F3F3F"/>
        <name val="Calibri"/>
        <charset val="1"/>
      </font>
      <fill>
        <patternFill>
          <bgColor rgb="FFD9D9D9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1F3864"/>
        <name val="Calibri"/>
        <charset val="1"/>
      </font>
      <fill>
        <patternFill>
          <bgColor rgb="FFBDD7E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006100"/>
        <name val="Calibri"/>
        <charset val="1"/>
      </font>
      <fill>
        <patternFill>
          <bgColor rgb="FFC6EFCE"/>
        </patternFill>
      </fill>
    </dxf>
    <dxf>
      <font>
        <sz val="9"/>
        <color rgb="FF9C6500"/>
        <name val="Calibri"/>
        <charset val="1"/>
      </font>
      <fill>
        <patternFill>
          <bgColor rgb="FFFFEB9C"/>
        </patternFill>
      </fill>
    </dxf>
    <dxf>
      <font>
        <sz val="9"/>
        <color rgb="FF9C0006"/>
        <name val="Calibri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1C7293"/>
      <rgbColor rgb="FFBFBFBF"/>
      <rgbColor rgb="FF808080"/>
      <rgbColor rgb="FF9999FF"/>
      <rgbColor rgb="FF993366"/>
      <rgbColor rgb="FFF2F6FC"/>
      <rgbColor rgb="FFDCE6F7"/>
      <rgbColor rgb="FF660066"/>
      <rgbColor rgb="FFFF8080"/>
      <rgbColor rgb="FF30549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EB9C"/>
      <rgbColor rgb="FFB6E0E5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2E7D32"/>
      <rgbColor rgb="FF006100"/>
      <rgbColor rgb="FF333300"/>
      <rgbColor rgb="FF993300"/>
      <rgbColor rgb="FF993366"/>
      <rgbColor rgb="FF2E4C8A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Opportunities by Business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Dashboard!$B$19:$B$24</c:f>
              <c:strCache>
                <c:ptCount val="6"/>
                <c:pt idx="0">
                  <c:v>Power</c:v>
                </c:pt>
                <c:pt idx="1">
                  <c:v>Captive Power</c:v>
                </c:pt>
                <c:pt idx="2">
                  <c:v>Gas Retail</c:v>
                </c:pt>
                <c:pt idx="3">
                  <c:v>Autogas/CNG</c:v>
                </c:pt>
                <c:pt idx="4">
                  <c:v>Collaboration</c:v>
                </c:pt>
                <c:pt idx="5">
                  <c:v>Venture</c:v>
                </c:pt>
              </c:strCache>
            </c:strRef>
          </c:cat>
          <c:val>
            <c:numRef>
              <c:f>Dashboard!$C$19:$C$24</c:f>
              <c:numCache>
                <c:formatCode>General</c:formatCode>
                <c:ptCount val="6"/>
                <c:pt idx="0">
                  <c:v>12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7-41E9-B2AB-4482E0810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52836"/>
        <c:axId val="47311126"/>
      </c:barChart>
      <c:catAx>
        <c:axId val="8735283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311126"/>
        <c:crosses val="autoZero"/>
        <c:auto val="1"/>
        <c:lblAlgn val="ctr"/>
        <c:lblOffset val="100"/>
        <c:noMultiLvlLbl val="0"/>
      </c:catAx>
      <c:valAx>
        <c:axId val="473111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3528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Opportunities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Dashboard!$E$19:$E$32</c:f>
              <c:strCache>
                <c:ptCount val="14"/>
                <c:pt idx="0">
                  <c:v>Lead Received</c:v>
                </c:pt>
                <c:pt idx="1">
                  <c:v>Lead Logged</c:v>
                </c:pt>
                <c:pt idx="2">
                  <c:v>Initial Screening</c:v>
                </c:pt>
                <c:pt idx="3">
                  <c:v>Knockout Test</c:v>
                </c:pt>
                <c:pt idx="4">
                  <c:v>NDA / Data Request</c:v>
                </c:pt>
                <c:pt idx="5">
                  <c:v>Site Reconnaissance</c:v>
                </c:pt>
                <c:pt idx="6">
                  <c:v>Energy Audit</c:v>
                </c:pt>
                <c:pt idx="7">
                  <c:v>Indicative Tariff / Solution</c:v>
                </c:pt>
                <c:pt idx="8">
                  <c:v>Proposal / Term Sheet</c:v>
                </c:pt>
                <c:pt idx="9">
                  <c:v>Negotiation</c:v>
                </c:pt>
                <c:pt idx="10">
                  <c:v>Contract Signing</c:v>
                </c:pt>
                <c:pt idx="11">
                  <c:v>Onboarding / KYC</c:v>
                </c:pt>
                <c:pt idx="12">
                  <c:v>Implementation</c:v>
                </c:pt>
                <c:pt idx="13">
                  <c:v>Revenue Generation</c:v>
                </c:pt>
              </c:strCache>
            </c:strRef>
          </c:cat>
          <c:val>
            <c:numRef>
              <c:f>Dashboard!$F$19:$F$32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8-4EA1-A50B-E0D027191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28993"/>
        <c:axId val="25126978"/>
      </c:barChart>
      <c:catAx>
        <c:axId val="482289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126978"/>
        <c:crosses val="autoZero"/>
        <c:auto val="1"/>
        <c:lblAlgn val="ctr"/>
        <c:lblOffset val="100"/>
        <c:noMultiLvlLbl val="0"/>
      </c:catAx>
      <c:valAx>
        <c:axId val="25126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2289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15</xdr:row>
      <xdr:rowOff>138544</xdr:rowOff>
    </xdr:from>
    <xdr:to>
      <xdr:col>13</xdr:col>
      <xdr:colOff>4763</xdr:colOff>
      <xdr:row>28</xdr:row>
      <xdr:rowOff>9984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8659</xdr:colOff>
      <xdr:row>29</xdr:row>
      <xdr:rowOff>34637</xdr:rowOff>
    </xdr:from>
    <xdr:to>
      <xdr:col>13</xdr:col>
      <xdr:colOff>4763</xdr:colOff>
      <xdr:row>41</xdr:row>
      <xdr:rowOff>87917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6"/>
  <sheetViews>
    <sheetView showGridLines="0" zoomScale="110" zoomScaleNormal="110" workbookViewId="0">
      <selection activeCell="A2" sqref="A2"/>
    </sheetView>
  </sheetViews>
  <sheetFormatPr defaultColWidth="0" defaultRowHeight="14.4" x14ac:dyDescent="0.3"/>
  <cols>
    <col min="1" max="1" width="1.88671875" customWidth="1"/>
    <col min="2" max="2" width="21" customWidth="1"/>
    <col min="3" max="4" width="13.88671875" customWidth="1"/>
    <col min="5" max="5" width="21" customWidth="1"/>
    <col min="6" max="7" width="13.88671875" customWidth="1"/>
    <col min="8" max="8" width="19.109375" customWidth="1"/>
    <col min="9" max="9" width="13.88671875" customWidth="1"/>
    <col min="10" max="10" width="19.109375" customWidth="1"/>
    <col min="11" max="11" width="13.88671875" customWidth="1"/>
    <col min="12" max="12" width="19.109375" customWidth="1"/>
    <col min="13" max="13" width="13.88671875" customWidth="1"/>
    <col min="14" max="14" width="8.6640625" customWidth="1"/>
    <col min="15" max="16384" width="8.6640625" hidden="1"/>
  </cols>
  <sheetData>
    <row r="2" spans="2:13" ht="31.5" customHeight="1" x14ac:dyDescent="0.3">
      <c r="B2" s="49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2:13" x14ac:dyDescent="0.3">
      <c r="B3" s="50" t="s">
        <v>1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5" spans="2:13" x14ac:dyDescent="0.3">
      <c r="B5" s="51" t="s">
        <v>2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2:13" ht="25.5" customHeight="1" x14ac:dyDescent="0.3">
      <c r="B6" s="52" t="s">
        <v>3</v>
      </c>
      <c r="C6" s="52"/>
      <c r="D6" s="53" t="s">
        <v>4</v>
      </c>
      <c r="E6" s="53"/>
      <c r="F6" s="54" t="s">
        <v>5</v>
      </c>
      <c r="G6" s="54"/>
      <c r="H6" s="55" t="s">
        <v>6</v>
      </c>
      <c r="I6" s="55"/>
      <c r="J6" s="56" t="s">
        <v>7</v>
      </c>
      <c r="K6" s="56"/>
      <c r="L6" s="57" t="s">
        <v>8</v>
      </c>
      <c r="M6" s="57"/>
    </row>
    <row r="7" spans="2:13" ht="30" customHeight="1" x14ac:dyDescent="0.3">
      <c r="B7" s="58">
        <f>COUNTA('Opportunity Pipeline Tracker'!$B$4:$B$26)</f>
        <v>22</v>
      </c>
      <c r="C7" s="58"/>
      <c r="D7" s="58">
        <f>COUNTIF('Opportunity Pipeline Tracker'!$N$4:$N$26,"Active")</f>
        <v>13</v>
      </c>
      <c r="E7" s="58"/>
      <c r="F7" s="58">
        <f>COUNTIF('Opportunity Pipeline Tracker'!$N$4:$N$26,"Converted")</f>
        <v>7</v>
      </c>
      <c r="G7" s="58"/>
      <c r="H7" s="58">
        <f>COUNTIF('Opportunity Pipeline Tracker'!$N$4:$N$26,"Nurture")</f>
        <v>0</v>
      </c>
      <c r="I7" s="58"/>
      <c r="J7" s="58">
        <f>COUNTIF('Opportunity Pipeline Tracker'!$N$4:$N$26,"Deferred")</f>
        <v>0</v>
      </c>
      <c r="K7" s="58"/>
      <c r="L7" s="58">
        <f>COUNTIF('Opportunity Pipeline Tracker'!$N$4:$N$26,"Rejected")+COUNTIF('Opportunity Pipeline Tracker'!$N$4:$N$26,"Dead / Silent")+COUNTIF('Opportunity Pipeline Tracker'!$N$4:$N$26,"Failed Knockout")</f>
        <v>2</v>
      </c>
      <c r="M7" s="58"/>
    </row>
    <row r="9" spans="2:13" x14ac:dyDescent="0.3">
      <c r="B9" s="51" t="s">
        <v>9</v>
      </c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</row>
    <row r="10" spans="2:13" ht="25.5" customHeight="1" x14ac:dyDescent="0.3">
      <c r="B10" s="53" t="s">
        <v>10</v>
      </c>
      <c r="C10" s="53"/>
      <c r="D10" s="59" t="s">
        <v>11</v>
      </c>
      <c r="E10" s="59"/>
      <c r="F10" s="57" t="s">
        <v>12</v>
      </c>
      <c r="G10" s="57"/>
      <c r="H10" s="54" t="s">
        <v>13</v>
      </c>
      <c r="I10" s="54"/>
      <c r="J10" s="52" t="s">
        <v>14</v>
      </c>
      <c r="K10" s="52"/>
      <c r="L10" s="55" t="s">
        <v>15</v>
      </c>
      <c r="M10" s="55"/>
    </row>
    <row r="11" spans="2:13" ht="30" customHeight="1" x14ac:dyDescent="0.3">
      <c r="B11" s="58">
        <f>COUNTIF('Opportunity Pipeline Tracker'!$L$4:$L$26,"NDA / Data Request")</f>
        <v>1</v>
      </c>
      <c r="C11" s="58"/>
      <c r="D11" s="58">
        <f>COUNTIF('Opportunity Pipeline Tracker'!$Z$4:$Z$26,"Yes")</f>
        <v>4</v>
      </c>
      <c r="E11" s="58"/>
      <c r="F11" s="58">
        <f ca="1">SUMPRODUCT(('Opportunity Pipeline Tracker'!$U$4:$U$26&lt;&gt;"")*(ISNUMBER('Opportunity Pipeline Tracker'!$U$4:$U$26))*('Opportunity Pipeline Tracker'!$U$4:$U$26&lt;TODAY())*('Opportunity Pipeline Tracker'!$N$4:$N$26&lt;&gt;"Converted")*('Opportunity Pipeline Tracker'!$N$4:$N$26&lt;&gt;"Rejected")*('Opportunity Pipeline Tracker'!$N$4:$N$26&lt;&gt;"Dead / Silent"))</f>
        <v>0</v>
      </c>
      <c r="G11" s="58"/>
      <c r="H11" s="61">
        <f>IFERROR(COUNTIF('Opportunity Pipeline Tracker'!$N$4:$N$26,"Converted")/COUNTA('Opportunity Pipeline Tracker'!$B$4:$B$26),0)</f>
        <v>0.31818181818181818</v>
      </c>
      <c r="I11" s="61"/>
      <c r="J11" s="58" t="str">
        <f>IFERROR(ROUND(AVERAGE('Opportunity Pipeline Tracker'!$AE$4:$AE$26),0),"-")</f>
        <v>-</v>
      </c>
      <c r="K11" s="58"/>
      <c r="L11" s="58">
        <f>COUNTIF('Opportunity Pipeline Tracker'!$N$4:$N$26,"Cluster Potential")</f>
        <v>0</v>
      </c>
      <c r="M11" s="58"/>
    </row>
    <row r="13" spans="2:13" x14ac:dyDescent="0.3">
      <c r="B13" s="60" t="s">
        <v>16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</row>
    <row r="14" spans="2:13" ht="25.5" customHeight="1" x14ac:dyDescent="0.3">
      <c r="B14" s="59" t="s">
        <v>17</v>
      </c>
      <c r="C14" s="59"/>
      <c r="D14" s="57" t="s">
        <v>18</v>
      </c>
      <c r="E14" s="57"/>
      <c r="F14" s="57" t="s">
        <v>19</v>
      </c>
      <c r="G14" s="57"/>
      <c r="H14" s="53" t="s">
        <v>20</v>
      </c>
      <c r="I14" s="53"/>
      <c r="J14" s="57" t="s">
        <v>21</v>
      </c>
      <c r="K14" s="57"/>
      <c r="L14" s="54" t="s">
        <v>22</v>
      </c>
      <c r="M14" s="54"/>
    </row>
    <row r="15" spans="2:13" ht="30" customHeight="1" x14ac:dyDescent="0.3">
      <c r="B15" s="58">
        <f ca="1">SUMPRODUCT(('Commercial Operations Tracker'!$F$4:$F$12&lt;&gt;"")*(ISNUMBER('Commercial Operations Tracker'!$F$4:$F$12))*('Commercial Operations Tracker'!$F$4:$F$12&gt;=0)*('Commercial Operations Tracker'!$F$4:$F$12&lt;=90))</f>
        <v>0</v>
      </c>
      <c r="C15" s="58"/>
      <c r="D15" s="58">
        <f ca="1">COUNTIF('Commercial Operations Tracker'!$G$4:$G$12,"Overdue")+COUNTIF('Commercial Operations Tracker'!$C$4:$C$12,"PPA (addendum in progress)")*0+COUNTIF('Commercial Operations Tracker'!$E$4:$E$12,"&lt;"&amp;TODAY())</f>
        <v>1</v>
      </c>
      <c r="E15" s="58"/>
      <c r="F15" s="58">
        <f>COUNTIF('Commercial Operations Tracker'!$I$4:$I$12,"Overdue")</f>
        <v>1</v>
      </c>
      <c r="G15" s="58"/>
      <c r="H15" s="58">
        <f>COUNTIF('Commercial Operations Tracker'!$J$4:$J$12,"Pending")+COUNTIF('Commercial Operations Tracker'!$J$4:$J$12,"In Progress")+COUNTIF('Commercial Operations Tracker'!$J$4:$J$12,"Not Started")</f>
        <v>0</v>
      </c>
      <c r="I15" s="58"/>
      <c r="J15" s="58">
        <f>COUNTIF('Commercial Operations Tracker'!$T$4:$T$12,"High")</f>
        <v>1</v>
      </c>
      <c r="K15" s="58"/>
      <c r="L15" s="58">
        <f>COUNTA('Commercial Operations Tracker'!$A$4:$A$12)</f>
        <v>8</v>
      </c>
      <c r="M15" s="58"/>
    </row>
    <row r="17" spans="2:6" x14ac:dyDescent="0.3">
      <c r="B17" s="1" t="s">
        <v>23</v>
      </c>
      <c r="E17" s="1" t="s">
        <v>24</v>
      </c>
    </row>
    <row r="18" spans="2:6" x14ac:dyDescent="0.3">
      <c r="B18" s="2" t="s">
        <v>25</v>
      </c>
      <c r="C18" s="2" t="s">
        <v>26</v>
      </c>
      <c r="E18" s="2" t="s">
        <v>27</v>
      </c>
      <c r="F18" s="2" t="s">
        <v>26</v>
      </c>
    </row>
    <row r="19" spans="2:6" x14ac:dyDescent="0.3">
      <c r="B19" s="3" t="s">
        <v>28</v>
      </c>
      <c r="C19" s="4">
        <f>COUNTIF('Opportunity Pipeline Tracker'!$D$4:$D$26,"Power")</f>
        <v>12</v>
      </c>
      <c r="E19" s="3" t="s">
        <v>29</v>
      </c>
      <c r="F19" s="4">
        <f>COUNTIF('Opportunity Pipeline Tracker'!$L$4:$L$26,"Lead Received")</f>
        <v>0</v>
      </c>
    </row>
    <row r="20" spans="2:6" x14ac:dyDescent="0.3">
      <c r="B20" s="3" t="s">
        <v>30</v>
      </c>
      <c r="C20" s="4">
        <f>COUNTIF('Opportunity Pipeline Tracker'!$D$4:$D$26,"Captive Power")</f>
        <v>5</v>
      </c>
      <c r="E20" s="3" t="s">
        <v>31</v>
      </c>
      <c r="F20" s="4">
        <f>COUNTIF('Opportunity Pipeline Tracker'!$L$4:$L$26,"Lead Logged")</f>
        <v>0</v>
      </c>
    </row>
    <row r="21" spans="2:6" x14ac:dyDescent="0.3">
      <c r="B21" s="3" t="s">
        <v>32</v>
      </c>
      <c r="C21" s="4">
        <f>COUNTIF('Opportunity Pipeline Tracker'!$D$4:$D$26,"Gas Retail")</f>
        <v>3</v>
      </c>
      <c r="E21" s="3" t="s">
        <v>33</v>
      </c>
      <c r="F21" s="4">
        <f>COUNTIF('Opportunity Pipeline Tracker'!$L$4:$L$26,"Initial Screening")</f>
        <v>0</v>
      </c>
    </row>
    <row r="22" spans="2:6" x14ac:dyDescent="0.3">
      <c r="B22" s="3" t="s">
        <v>34</v>
      </c>
      <c r="C22" s="4">
        <f>COUNTIF('Opportunity Pipeline Tracker'!$D$4:$D$26,"Autogas/CNG")</f>
        <v>1</v>
      </c>
      <c r="E22" s="3" t="s">
        <v>35</v>
      </c>
      <c r="F22" s="4">
        <f>COUNTIF('Opportunity Pipeline Tracker'!$L$4:$L$26,"Knockout Test")</f>
        <v>1</v>
      </c>
    </row>
    <row r="23" spans="2:6" x14ac:dyDescent="0.3">
      <c r="B23" s="3" t="s">
        <v>36</v>
      </c>
      <c r="C23" s="4">
        <f>COUNTIF('Opportunity Pipeline Tracker'!$D$4:$D$26,"Collaboration")</f>
        <v>1</v>
      </c>
      <c r="E23" s="3" t="s">
        <v>37</v>
      </c>
      <c r="F23" s="4">
        <f>COUNTIF('Opportunity Pipeline Tracker'!$L$4:$L$26,"NDA / Data Request")</f>
        <v>1</v>
      </c>
    </row>
    <row r="24" spans="2:6" x14ac:dyDescent="0.3">
      <c r="B24" s="3" t="s">
        <v>38</v>
      </c>
      <c r="C24" s="4">
        <f>COUNTIF('Opportunity Pipeline Tracker'!$D$4:$D$26,"Venture")</f>
        <v>0</v>
      </c>
      <c r="E24" s="3" t="s">
        <v>39</v>
      </c>
      <c r="F24" s="4">
        <f>COUNTIF('Opportunity Pipeline Tracker'!$L$4:$L$26,"Site Reconnaissance")</f>
        <v>2</v>
      </c>
    </row>
    <row r="25" spans="2:6" x14ac:dyDescent="0.3">
      <c r="E25" s="3" t="s">
        <v>41</v>
      </c>
      <c r="F25" s="4">
        <f>COUNTIF('Opportunity Pipeline Tracker'!$L$4:$L$26,"Energy Audit")</f>
        <v>1</v>
      </c>
    </row>
    <row r="26" spans="2:6" x14ac:dyDescent="0.3">
      <c r="B26" s="1" t="s">
        <v>40</v>
      </c>
      <c r="E26" s="3" t="s">
        <v>44</v>
      </c>
      <c r="F26" s="4">
        <f>COUNTIF('Opportunity Pipeline Tracker'!$L$4:$L$26,"Indicative Tariff / Solution")</f>
        <v>4</v>
      </c>
    </row>
    <row r="27" spans="2:6" x14ac:dyDescent="0.3">
      <c r="B27" s="2" t="s">
        <v>42</v>
      </c>
      <c r="C27" s="2" t="s">
        <v>43</v>
      </c>
      <c r="E27" s="3" t="s">
        <v>46</v>
      </c>
      <c r="F27" s="4">
        <f>COUNTIF('Opportunity Pipeline Tracker'!$L$4:$L$26,"Proposal / Term Sheet")</f>
        <v>3</v>
      </c>
    </row>
    <row r="28" spans="2:6" x14ac:dyDescent="0.3">
      <c r="B28" s="3" t="s">
        <v>45</v>
      </c>
      <c r="C28" s="4">
        <f>COUNTIF('Opportunity Pipeline Tracker'!$T$4:$T$26,"Mide (Commercial Manager)")+COUNTIF('Commercial Operations Tracker'!$P$4:$P$12,"Mide (Commercial Manager)")</f>
        <v>0</v>
      </c>
      <c r="E28" s="3" t="s">
        <v>48</v>
      </c>
      <c r="F28" s="4">
        <f>COUNTIF('Opportunity Pipeline Tracker'!$L$4:$L$26,"Negotiation")</f>
        <v>2</v>
      </c>
    </row>
    <row r="29" spans="2:6" x14ac:dyDescent="0.3">
      <c r="B29" s="3" t="s">
        <v>47</v>
      </c>
      <c r="C29" s="4">
        <f>COUNTIF('Opportunity Pipeline Tracker'!$T$4:$T$26,"Temitope")+COUNTIF('Commercial Operations Tracker'!$P$4:$P$12,"Temitope")</f>
        <v>1</v>
      </c>
      <c r="E29" s="3" t="s">
        <v>50</v>
      </c>
      <c r="F29" s="4">
        <f>COUNTIF('Opportunity Pipeline Tracker'!$L$4:$L$26,"Contract Signing")</f>
        <v>1</v>
      </c>
    </row>
    <row r="30" spans="2:6" x14ac:dyDescent="0.3">
      <c r="B30" s="3" t="s">
        <v>49</v>
      </c>
      <c r="C30" s="4">
        <f>COUNTIF('Opportunity Pipeline Tracker'!$T$4:$T$26,"Damilare")+COUNTIF('Commercial Operations Tracker'!$P$4:$P$12,"Damilare")</f>
        <v>0</v>
      </c>
      <c r="E30" s="3" t="s">
        <v>52</v>
      </c>
      <c r="F30" s="4">
        <f>COUNTIF('Opportunity Pipeline Tracker'!$L$4:$L$26,"Onboarding / KYC")</f>
        <v>0</v>
      </c>
    </row>
    <row r="31" spans="2:6" x14ac:dyDescent="0.3">
      <c r="B31" s="3" t="s">
        <v>51</v>
      </c>
      <c r="C31" s="4">
        <f>COUNTIF('Opportunity Pipeline Tracker'!$T$4:$T$26,"Abdullateef")+COUNTIF('Commercial Operations Tracker'!$P$4:$P$12,"Abdullateef")</f>
        <v>0</v>
      </c>
      <c r="E31" s="3" t="s">
        <v>54</v>
      </c>
      <c r="F31" s="4">
        <f>COUNTIF('Opportunity Pipeline Tracker'!$L$4:$L$26,"Implementation")</f>
        <v>0</v>
      </c>
    </row>
    <row r="32" spans="2:6" x14ac:dyDescent="0.3">
      <c r="B32" s="3" t="s">
        <v>53</v>
      </c>
      <c r="C32" s="4">
        <f>COUNTIF('Opportunity Pipeline Tracker'!$T$4:$T$26,"BD Team")+COUNTIF('Commercial Operations Tracker'!$P$4:$P$12,"BD Team")</f>
        <v>14</v>
      </c>
      <c r="E32" s="3" t="s">
        <v>56</v>
      </c>
      <c r="F32" s="4">
        <f>COUNTIF('Opportunity Pipeline Tracker'!$L$4:$L$26,"Revenue Generation")</f>
        <v>7</v>
      </c>
    </row>
    <row r="33" spans="2:3" x14ac:dyDescent="0.3">
      <c r="B33" s="3" t="s">
        <v>55</v>
      </c>
      <c r="C33" s="4">
        <f>COUNTIF('Opportunity Pipeline Tracker'!$T$4:$T$26,"Commercial Ops")+COUNTIF('Commercial Operations Tracker'!$P$4:$P$12,"Commercial Ops")</f>
        <v>15</v>
      </c>
    </row>
    <row r="34" spans="2:3" x14ac:dyDescent="0.3">
      <c r="B34" s="3" t="s">
        <v>57</v>
      </c>
      <c r="C34" s="4">
        <f>COUNTIF('Opportunity Pipeline Tracker'!$T$4:$T$26,"Legal")+COUNTIF('Commercial Operations Tracker'!$P$4:$P$12,"Legal")</f>
        <v>0</v>
      </c>
    </row>
    <row r="35" spans="2:3" x14ac:dyDescent="0.3">
      <c r="B35" s="3" t="s">
        <v>58</v>
      </c>
      <c r="C35" s="4">
        <f>COUNTIF('Opportunity Pipeline Tracker'!$T$4:$T$26,"Technical")+COUNTIF('Commercial Operations Tracker'!$P$4:$P$12,"Technical")</f>
        <v>0</v>
      </c>
    </row>
    <row r="36" spans="2:3" x14ac:dyDescent="0.3">
      <c r="B36" s="3" t="s">
        <v>59</v>
      </c>
      <c r="C36" s="4">
        <f>COUNTIF('Opportunity Pipeline Tracker'!$T$4:$T$26,"Finance")+COUNTIF('Commercial Operations Tracker'!$P$4:$P$12,"Finance")</f>
        <v>0</v>
      </c>
    </row>
  </sheetData>
  <mergeCells count="41">
    <mergeCell ref="L15:M15"/>
    <mergeCell ref="B15:C15"/>
    <mergeCell ref="D15:E15"/>
    <mergeCell ref="F15:G15"/>
    <mergeCell ref="H15:I15"/>
    <mergeCell ref="J15:K15"/>
    <mergeCell ref="L11:M11"/>
    <mergeCell ref="B13:M13"/>
    <mergeCell ref="B14:C14"/>
    <mergeCell ref="D14:E14"/>
    <mergeCell ref="F14:G14"/>
    <mergeCell ref="H14:I14"/>
    <mergeCell ref="J14:K14"/>
    <mergeCell ref="L14:M14"/>
    <mergeCell ref="B11:C11"/>
    <mergeCell ref="D11:E11"/>
    <mergeCell ref="F11:G11"/>
    <mergeCell ref="H11:I11"/>
    <mergeCell ref="J11:K11"/>
    <mergeCell ref="L7:M7"/>
    <mergeCell ref="B9:M9"/>
    <mergeCell ref="B10:C10"/>
    <mergeCell ref="D10:E10"/>
    <mergeCell ref="F10:G10"/>
    <mergeCell ref="H10:I10"/>
    <mergeCell ref="J10:K10"/>
    <mergeCell ref="L10:M10"/>
    <mergeCell ref="B7:C7"/>
    <mergeCell ref="D7:E7"/>
    <mergeCell ref="F7:G7"/>
    <mergeCell ref="H7:I7"/>
    <mergeCell ref="J7:K7"/>
    <mergeCell ref="B2:M2"/>
    <mergeCell ref="B3:M3"/>
    <mergeCell ref="B5:M5"/>
    <mergeCell ref="B6:C6"/>
    <mergeCell ref="D6:E6"/>
    <mergeCell ref="F6:G6"/>
    <mergeCell ref="H6:I6"/>
    <mergeCell ref="J6:K6"/>
    <mergeCell ref="L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8"/>
  <sheetViews>
    <sheetView showGridLines="0" zoomScale="110" zoomScaleNormal="110" workbookViewId="0"/>
  </sheetViews>
  <sheetFormatPr defaultColWidth="0" defaultRowHeight="14.4" x14ac:dyDescent="0.3"/>
  <cols>
    <col min="1" max="1" width="1.5546875" customWidth="1"/>
    <col min="2" max="3" width="16" customWidth="1"/>
    <col min="4" max="4" width="19" customWidth="1"/>
    <col min="5" max="5" width="21.109375" bestFit="1" customWidth="1"/>
    <col min="6" max="6" width="16" customWidth="1"/>
    <col min="7" max="7" width="18" customWidth="1"/>
    <col min="8" max="14" width="16" customWidth="1"/>
    <col min="15" max="15" width="18" customWidth="1"/>
    <col min="16" max="16" width="17" customWidth="1"/>
    <col min="17" max="21" width="16" customWidth="1"/>
    <col min="22" max="22" width="8.6640625" customWidth="1"/>
    <col min="23" max="16384" width="8.6640625" hidden="1"/>
  </cols>
  <sheetData>
    <row r="2" spans="2:21" ht="25.5" customHeight="1" x14ac:dyDescent="0.3">
      <c r="B2" s="63" t="s">
        <v>60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4" spans="2:21" ht="30" customHeight="1" x14ac:dyDescent="0.3">
      <c r="B4" s="44" t="s">
        <v>61</v>
      </c>
      <c r="C4" s="44" t="s">
        <v>62</v>
      </c>
      <c r="D4" s="44" t="s">
        <v>63</v>
      </c>
      <c r="E4" s="44" t="s">
        <v>27</v>
      </c>
      <c r="F4" s="44" t="s">
        <v>64</v>
      </c>
      <c r="G4" s="44" t="s">
        <v>65</v>
      </c>
      <c r="H4" s="44" t="s">
        <v>66</v>
      </c>
      <c r="I4" s="44" t="s">
        <v>42</v>
      </c>
      <c r="J4" s="44" t="s">
        <v>67</v>
      </c>
      <c r="K4" s="44" t="s">
        <v>68</v>
      </c>
      <c r="L4" s="44" t="s">
        <v>353</v>
      </c>
      <c r="M4" s="44" t="s">
        <v>69</v>
      </c>
      <c r="N4" s="44" t="s">
        <v>70</v>
      </c>
      <c r="O4" s="44" t="s">
        <v>71</v>
      </c>
      <c r="P4" s="44" t="s">
        <v>72</v>
      </c>
      <c r="Q4" s="44" t="s">
        <v>73</v>
      </c>
      <c r="R4" s="44" t="s">
        <v>74</v>
      </c>
      <c r="S4" s="44" t="s">
        <v>75</v>
      </c>
      <c r="T4" s="44" t="s">
        <v>76</v>
      </c>
      <c r="U4" s="44" t="s">
        <v>77</v>
      </c>
    </row>
    <row r="5" spans="2:21" x14ac:dyDescent="0.3">
      <c r="B5" s="45" t="s">
        <v>28</v>
      </c>
      <c r="C5" s="45" t="s">
        <v>346</v>
      </c>
      <c r="D5" s="45" t="s">
        <v>79</v>
      </c>
      <c r="E5" s="45" t="s">
        <v>350</v>
      </c>
      <c r="F5" s="45" t="s">
        <v>80</v>
      </c>
      <c r="G5" s="45" t="s">
        <v>4</v>
      </c>
      <c r="H5" s="45" t="s">
        <v>81</v>
      </c>
      <c r="I5" s="45" t="s">
        <v>45</v>
      </c>
      <c r="J5" s="45" t="s">
        <v>82</v>
      </c>
      <c r="K5" s="45" t="s">
        <v>81</v>
      </c>
      <c r="L5" s="45" t="s">
        <v>83</v>
      </c>
      <c r="M5" s="45" t="s">
        <v>81</v>
      </c>
      <c r="N5" s="45" t="s">
        <v>84</v>
      </c>
      <c r="O5" s="45" t="s">
        <v>4</v>
      </c>
      <c r="P5" s="45" t="s">
        <v>85</v>
      </c>
      <c r="Q5" s="45" t="s">
        <v>86</v>
      </c>
      <c r="R5" s="45" t="s">
        <v>87</v>
      </c>
      <c r="S5" s="45" t="s">
        <v>87</v>
      </c>
      <c r="T5" s="45" t="s">
        <v>88</v>
      </c>
      <c r="U5" s="45" t="s">
        <v>89</v>
      </c>
    </row>
    <row r="6" spans="2:21" x14ac:dyDescent="0.3">
      <c r="B6" s="45" t="s">
        <v>30</v>
      </c>
      <c r="C6" s="45" t="s">
        <v>90</v>
      </c>
      <c r="D6" s="45" t="s">
        <v>347</v>
      </c>
      <c r="E6" s="45" t="s">
        <v>351</v>
      </c>
      <c r="F6" s="45" t="s">
        <v>91</v>
      </c>
      <c r="G6" s="45" t="s">
        <v>7</v>
      </c>
      <c r="H6" s="45" t="s">
        <v>92</v>
      </c>
      <c r="I6" s="45" t="s">
        <v>47</v>
      </c>
      <c r="J6" s="45" t="s">
        <v>93</v>
      </c>
      <c r="K6" s="45" t="s">
        <v>92</v>
      </c>
      <c r="L6" s="45" t="s">
        <v>94</v>
      </c>
      <c r="M6" s="45" t="s">
        <v>92</v>
      </c>
      <c r="N6" s="45" t="s">
        <v>95</v>
      </c>
      <c r="O6" s="45" t="s">
        <v>96</v>
      </c>
      <c r="P6" s="45" t="s">
        <v>97</v>
      </c>
      <c r="Q6" s="45" t="s">
        <v>98</v>
      </c>
      <c r="R6" s="45" t="s">
        <v>99</v>
      </c>
      <c r="S6" s="45" t="s">
        <v>99</v>
      </c>
      <c r="T6" s="45" t="s">
        <v>100</v>
      </c>
      <c r="U6" s="45" t="s">
        <v>101</v>
      </c>
    </row>
    <row r="7" spans="2:21" x14ac:dyDescent="0.3">
      <c r="B7" s="45" t="s">
        <v>32</v>
      </c>
      <c r="C7" s="45" t="s">
        <v>102</v>
      </c>
      <c r="D7" s="45" t="s">
        <v>103</v>
      </c>
      <c r="E7" s="45" t="s">
        <v>37</v>
      </c>
      <c r="F7" s="45" t="s">
        <v>104</v>
      </c>
      <c r="G7" s="45" t="s">
        <v>112</v>
      </c>
      <c r="H7" s="45" t="s">
        <v>105</v>
      </c>
      <c r="I7" s="45" t="s">
        <v>49</v>
      </c>
      <c r="J7" s="46"/>
      <c r="K7" s="45" t="s">
        <v>105</v>
      </c>
      <c r="L7" s="45" t="s">
        <v>106</v>
      </c>
      <c r="M7" s="45" t="s">
        <v>105</v>
      </c>
      <c r="N7" s="45" t="s">
        <v>107</v>
      </c>
      <c r="O7" s="45" t="s">
        <v>108</v>
      </c>
      <c r="P7" s="45" t="s">
        <v>109</v>
      </c>
      <c r="Q7" s="45" t="s">
        <v>109</v>
      </c>
      <c r="R7" s="45" t="s">
        <v>104</v>
      </c>
      <c r="S7" s="45" t="s">
        <v>104</v>
      </c>
      <c r="T7" s="45" t="s">
        <v>104</v>
      </c>
      <c r="U7" s="45" t="s">
        <v>110</v>
      </c>
    </row>
    <row r="8" spans="2:21" x14ac:dyDescent="0.3">
      <c r="B8" s="45" t="s">
        <v>34</v>
      </c>
      <c r="C8" s="45" t="s">
        <v>348</v>
      </c>
      <c r="D8" s="45" t="s">
        <v>111</v>
      </c>
      <c r="E8" s="45" t="s">
        <v>39</v>
      </c>
      <c r="F8" s="46"/>
      <c r="G8" s="45" t="s">
        <v>5</v>
      </c>
      <c r="H8" s="46"/>
      <c r="I8" s="45" t="s">
        <v>51</v>
      </c>
      <c r="J8" s="46"/>
      <c r="K8" s="46"/>
      <c r="L8" s="45" t="s">
        <v>113</v>
      </c>
      <c r="M8" s="45" t="s">
        <v>114</v>
      </c>
      <c r="N8" s="45" t="s">
        <v>115</v>
      </c>
      <c r="O8" s="45" t="s">
        <v>116</v>
      </c>
      <c r="P8" s="45" t="s">
        <v>99</v>
      </c>
      <c r="Q8" s="45" t="s">
        <v>117</v>
      </c>
      <c r="R8" s="45" t="s">
        <v>118</v>
      </c>
      <c r="S8" s="45" t="s">
        <v>118</v>
      </c>
      <c r="T8" s="45" t="s">
        <v>118</v>
      </c>
      <c r="U8" s="45" t="s">
        <v>119</v>
      </c>
    </row>
    <row r="9" spans="2:21" x14ac:dyDescent="0.3">
      <c r="B9" s="45" t="s">
        <v>36</v>
      </c>
      <c r="C9" s="46"/>
      <c r="D9" s="45" t="s">
        <v>120</v>
      </c>
      <c r="E9" s="45" t="s">
        <v>41</v>
      </c>
      <c r="F9" s="46"/>
      <c r="G9" s="45" t="s">
        <v>352</v>
      </c>
      <c r="H9" s="46"/>
      <c r="I9" s="45" t="s">
        <v>53</v>
      </c>
      <c r="J9" s="46"/>
      <c r="K9" s="46"/>
      <c r="L9" s="45" t="s">
        <v>121</v>
      </c>
      <c r="M9" s="46"/>
      <c r="N9" s="45" t="s">
        <v>122</v>
      </c>
      <c r="O9" s="45" t="s">
        <v>123</v>
      </c>
      <c r="P9" s="45" t="s">
        <v>124</v>
      </c>
      <c r="Q9" s="45" t="s">
        <v>125</v>
      </c>
      <c r="R9" s="46"/>
      <c r="S9" s="46"/>
      <c r="T9" s="46"/>
      <c r="U9" s="45" t="s">
        <v>126</v>
      </c>
    </row>
    <row r="10" spans="2:21" x14ac:dyDescent="0.3">
      <c r="B10" s="45" t="s">
        <v>38</v>
      </c>
      <c r="C10" s="46"/>
      <c r="D10" s="45" t="s">
        <v>130</v>
      </c>
      <c r="E10" s="45" t="s">
        <v>46</v>
      </c>
      <c r="F10" s="46"/>
      <c r="G10" s="45" t="s">
        <v>131</v>
      </c>
      <c r="H10" s="46"/>
      <c r="I10" s="45" t="s">
        <v>55</v>
      </c>
      <c r="J10" s="46"/>
      <c r="K10" s="46"/>
      <c r="L10" s="45" t="s">
        <v>87</v>
      </c>
      <c r="M10" s="46"/>
      <c r="N10" s="45" t="s">
        <v>128</v>
      </c>
      <c r="O10" s="45" t="s">
        <v>129</v>
      </c>
      <c r="P10" s="46"/>
      <c r="Q10" s="46"/>
      <c r="R10" s="46"/>
      <c r="S10" s="46"/>
      <c r="T10" s="46"/>
      <c r="U10" s="46"/>
    </row>
    <row r="11" spans="2:21" x14ac:dyDescent="0.3">
      <c r="B11" s="46"/>
      <c r="C11" s="46"/>
      <c r="D11" s="45" t="s">
        <v>349</v>
      </c>
      <c r="E11" s="45" t="s">
        <v>48</v>
      </c>
      <c r="F11" s="46"/>
      <c r="G11" s="45"/>
      <c r="H11" s="46"/>
      <c r="I11" s="45" t="s">
        <v>57</v>
      </c>
      <c r="J11" s="46"/>
      <c r="K11" s="46"/>
      <c r="L11" s="46"/>
      <c r="M11" s="46"/>
      <c r="N11" s="45" t="s">
        <v>118</v>
      </c>
      <c r="O11" s="45" t="s">
        <v>118</v>
      </c>
      <c r="P11" s="46"/>
      <c r="Q11" s="46"/>
      <c r="R11" s="46"/>
      <c r="S11" s="46"/>
      <c r="T11" s="46"/>
      <c r="U11" s="46"/>
    </row>
    <row r="12" spans="2:21" x14ac:dyDescent="0.3">
      <c r="B12" s="46"/>
      <c r="C12" s="46"/>
      <c r="D12" s="46"/>
      <c r="E12" s="45" t="s">
        <v>50</v>
      </c>
      <c r="F12" s="46"/>
      <c r="G12" s="46"/>
      <c r="H12" s="46"/>
      <c r="I12" s="45" t="s">
        <v>58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</row>
    <row r="13" spans="2:21" x14ac:dyDescent="0.3">
      <c r="B13" s="46"/>
      <c r="C13" s="46"/>
      <c r="D13" s="46"/>
      <c r="E13" s="45" t="s">
        <v>52</v>
      </c>
      <c r="F13" s="46"/>
      <c r="G13" s="46"/>
      <c r="H13" s="46"/>
      <c r="I13" s="45" t="s">
        <v>59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</row>
    <row r="14" spans="2:21" x14ac:dyDescent="0.3">
      <c r="B14" s="46"/>
      <c r="C14" s="46"/>
      <c r="D14" s="46"/>
      <c r="E14" s="45" t="s">
        <v>54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</row>
    <row r="15" spans="2:21" x14ac:dyDescent="0.3">
      <c r="B15" s="46"/>
      <c r="C15" s="46"/>
      <c r="D15" s="46"/>
      <c r="E15" s="45" t="s">
        <v>56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</row>
    <row r="16" spans="2:21" x14ac:dyDescent="0.3"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8" spans="2:9" x14ac:dyDescent="0.3">
      <c r="B18" s="62" t="s">
        <v>132</v>
      </c>
      <c r="C18" s="62"/>
      <c r="D18" s="62"/>
      <c r="E18" s="62"/>
      <c r="F18" s="62"/>
      <c r="G18" s="62"/>
      <c r="H18" s="62"/>
      <c r="I18" s="62"/>
    </row>
  </sheetData>
  <mergeCells count="2">
    <mergeCell ref="B18:I18"/>
    <mergeCell ref="B2:U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F26"/>
  <sheetViews>
    <sheetView showGridLines="0" zoomScale="80" zoomScaleNormal="80" workbookViewId="0">
      <pane xSplit="3" ySplit="3" topLeftCell="F4" activePane="bottomRight" state="frozen"/>
      <selection activeCell="U43" sqref="U43"/>
      <selection pane="topRight" activeCell="U43" sqref="U43"/>
      <selection pane="bottomLeft" activeCell="U43" sqref="U43"/>
      <selection pane="bottomRight" activeCell="A2" sqref="A2"/>
    </sheetView>
  </sheetViews>
  <sheetFormatPr defaultColWidth="0" defaultRowHeight="14.4" x14ac:dyDescent="0.3"/>
  <cols>
    <col min="1" max="1" width="3" customWidth="1"/>
    <col min="2" max="2" width="17.88671875" customWidth="1"/>
    <col min="3" max="3" width="28.6640625" customWidth="1"/>
    <col min="4" max="4" width="11.88671875" bestFit="1" customWidth="1"/>
    <col min="5" max="5" width="16.88671875" customWidth="1"/>
    <col min="6" max="6" width="15.33203125" bestFit="1" customWidth="1"/>
    <col min="7" max="8" width="14" customWidth="1"/>
    <col min="9" max="9" width="13" customWidth="1"/>
    <col min="10" max="10" width="14" customWidth="1"/>
    <col min="11" max="11" width="12" customWidth="1"/>
    <col min="12" max="12" width="21.88671875" bestFit="1" customWidth="1"/>
    <col min="13" max="13" width="14.33203125" customWidth="1"/>
    <col min="14" max="14" width="11.6640625" customWidth="1"/>
    <col min="15" max="15" width="16.33203125" customWidth="1"/>
    <col min="16" max="16" width="13" customWidth="1"/>
    <col min="17" max="17" width="16.6640625" customWidth="1"/>
    <col min="18" max="18" width="22" customWidth="1"/>
    <col min="19" max="19" width="26" customWidth="1"/>
    <col min="20" max="20" width="15" customWidth="1"/>
    <col min="21" max="21" width="12" customWidth="1"/>
    <col min="22" max="22" width="13" customWidth="1"/>
    <col min="23" max="24" width="11" customWidth="1"/>
    <col min="25" max="25" width="30" customWidth="1"/>
    <col min="26" max="26" width="12" customWidth="1"/>
    <col min="27" max="29" width="18" customWidth="1"/>
    <col min="30" max="30" width="13" customWidth="1"/>
    <col min="31" max="31" width="11" customWidth="1"/>
    <col min="32" max="32" width="8.6640625" customWidth="1"/>
    <col min="33" max="16384" width="8.6640625" hidden="1"/>
  </cols>
  <sheetData>
    <row r="2" spans="2:31" ht="25.5" customHeight="1" x14ac:dyDescent="0.3">
      <c r="B2" s="64" t="s">
        <v>133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</row>
    <row r="3" spans="2:31" ht="45.75" customHeight="1" x14ac:dyDescent="0.3">
      <c r="B3" s="5" t="s">
        <v>134</v>
      </c>
      <c r="C3" s="5" t="s">
        <v>135</v>
      </c>
      <c r="D3" s="5" t="s">
        <v>25</v>
      </c>
      <c r="E3" s="5" t="s">
        <v>136</v>
      </c>
      <c r="F3" s="5" t="s">
        <v>63</v>
      </c>
      <c r="G3" s="5" t="s">
        <v>137</v>
      </c>
      <c r="H3" s="5" t="s">
        <v>138</v>
      </c>
      <c r="I3" s="5" t="s">
        <v>139</v>
      </c>
      <c r="J3" s="5" t="s">
        <v>140</v>
      </c>
      <c r="K3" s="5" t="s">
        <v>141</v>
      </c>
      <c r="L3" s="5" t="s">
        <v>142</v>
      </c>
      <c r="M3" s="5" t="s">
        <v>143</v>
      </c>
      <c r="N3" s="5" t="s">
        <v>65</v>
      </c>
      <c r="O3" s="5" t="s">
        <v>144</v>
      </c>
      <c r="P3" s="5" t="s">
        <v>145</v>
      </c>
      <c r="Q3" s="5" t="s">
        <v>146</v>
      </c>
      <c r="R3" s="5" t="s">
        <v>147</v>
      </c>
      <c r="S3" s="5" t="s">
        <v>148</v>
      </c>
      <c r="T3" s="5" t="s">
        <v>149</v>
      </c>
      <c r="U3" s="5" t="s">
        <v>354</v>
      </c>
      <c r="V3" s="5" t="s">
        <v>151</v>
      </c>
      <c r="W3" s="5" t="s">
        <v>152</v>
      </c>
      <c r="X3" s="5" t="s">
        <v>153</v>
      </c>
      <c r="Y3" s="5" t="s">
        <v>154</v>
      </c>
      <c r="Z3" s="5" t="s">
        <v>156</v>
      </c>
      <c r="AA3" s="5" t="s">
        <v>157</v>
      </c>
      <c r="AB3" s="5" t="s">
        <v>158</v>
      </c>
      <c r="AC3" s="5" t="s">
        <v>155</v>
      </c>
      <c r="AD3" s="5" t="s">
        <v>355</v>
      </c>
      <c r="AE3" s="5" t="s">
        <v>159</v>
      </c>
    </row>
    <row r="4" spans="2:31" ht="21" customHeight="1" x14ac:dyDescent="0.3">
      <c r="B4" s="7" t="s">
        <v>160</v>
      </c>
      <c r="C4" s="6" t="s">
        <v>161</v>
      </c>
      <c r="D4" s="3" t="s">
        <v>28</v>
      </c>
      <c r="E4" s="3" t="s">
        <v>345</v>
      </c>
      <c r="F4" s="3" t="s">
        <v>79</v>
      </c>
      <c r="G4" s="8"/>
      <c r="H4" s="8"/>
      <c r="I4" s="9">
        <v>750</v>
      </c>
      <c r="J4" s="10"/>
      <c r="K4" s="11"/>
      <c r="L4" s="3" t="s">
        <v>56</v>
      </c>
      <c r="M4" s="4" t="s">
        <v>80</v>
      </c>
      <c r="N4" s="4" t="s">
        <v>5</v>
      </c>
      <c r="O4" s="4" t="s">
        <v>81</v>
      </c>
      <c r="P4" s="4" t="s">
        <v>81</v>
      </c>
      <c r="Q4" s="4" t="s">
        <v>81</v>
      </c>
      <c r="R4" s="6"/>
      <c r="S4" s="6"/>
      <c r="T4" s="3" t="s">
        <v>55</v>
      </c>
      <c r="U4" s="11"/>
      <c r="V4" s="11"/>
      <c r="W4" s="12" t="str">
        <f t="shared" ref="W4:W25" ca="1" si="0">IF(V4="","",TODAY()-V4)</f>
        <v/>
      </c>
      <c r="X4" s="14">
        <v>1</v>
      </c>
      <c r="Y4" s="6" t="s">
        <v>162</v>
      </c>
      <c r="Z4" s="4" t="s">
        <v>93</v>
      </c>
      <c r="AA4" s="6"/>
      <c r="AB4" s="6"/>
      <c r="AC4" s="6"/>
      <c r="AD4" s="13"/>
      <c r="AE4" s="12" t="str">
        <f>IF(AND(K4&lt;&gt;"",AD4&lt;&gt;""),AD4-K4,"")</f>
        <v/>
      </c>
    </row>
    <row r="5" spans="2:31" ht="21" customHeight="1" x14ac:dyDescent="0.3">
      <c r="B5" s="15" t="s">
        <v>163</v>
      </c>
      <c r="C5" s="16" t="s">
        <v>164</v>
      </c>
      <c r="D5" s="17" t="s">
        <v>28</v>
      </c>
      <c r="E5" s="17" t="s">
        <v>78</v>
      </c>
      <c r="F5" s="17" t="s">
        <v>79</v>
      </c>
      <c r="G5" s="18"/>
      <c r="H5" s="18"/>
      <c r="I5" s="19">
        <v>2700</v>
      </c>
      <c r="J5" s="20"/>
      <c r="K5" s="21"/>
      <c r="L5" s="17" t="s">
        <v>48</v>
      </c>
      <c r="M5" s="22" t="s">
        <v>80</v>
      </c>
      <c r="N5" s="22" t="s">
        <v>4</v>
      </c>
      <c r="O5" s="22" t="s">
        <v>81</v>
      </c>
      <c r="P5" s="22" t="s">
        <v>81</v>
      </c>
      <c r="Q5" s="22" t="s">
        <v>81</v>
      </c>
      <c r="R5" s="16" t="s">
        <v>165</v>
      </c>
      <c r="S5" s="16" t="s">
        <v>166</v>
      </c>
      <c r="T5" s="17" t="s">
        <v>53</v>
      </c>
      <c r="U5" s="21"/>
      <c r="V5" s="21"/>
      <c r="W5" s="23" t="str">
        <f t="shared" ca="1" si="0"/>
        <v/>
      </c>
      <c r="X5" s="25">
        <v>0.85</v>
      </c>
      <c r="Y5" s="16" t="s">
        <v>167</v>
      </c>
      <c r="Z5" s="22" t="s">
        <v>82</v>
      </c>
      <c r="AA5" s="16" t="s">
        <v>168</v>
      </c>
      <c r="AB5" s="16"/>
      <c r="AC5" s="16"/>
      <c r="AD5" s="24"/>
      <c r="AE5" s="66" t="e">
        <f>IF(AND(K5&lt;&gt;"",#REF!&lt;&gt;""),#REF!-K5,"")</f>
        <v>#REF!</v>
      </c>
    </row>
    <row r="6" spans="2:31" ht="21" customHeight="1" x14ac:dyDescent="0.3">
      <c r="B6" s="7" t="s">
        <v>169</v>
      </c>
      <c r="C6" s="6" t="s">
        <v>170</v>
      </c>
      <c r="D6" s="3" t="s">
        <v>28</v>
      </c>
      <c r="E6" s="3" t="s">
        <v>78</v>
      </c>
      <c r="F6" s="3" t="s">
        <v>79</v>
      </c>
      <c r="G6" s="8"/>
      <c r="H6" s="8"/>
      <c r="I6" s="9">
        <v>750</v>
      </c>
      <c r="J6" s="10"/>
      <c r="K6" s="11"/>
      <c r="L6" s="3" t="s">
        <v>44</v>
      </c>
      <c r="M6" s="4" t="s">
        <v>80</v>
      </c>
      <c r="N6" s="4" t="s">
        <v>127</v>
      </c>
      <c r="O6" s="4" t="s">
        <v>105</v>
      </c>
      <c r="P6" s="4" t="s">
        <v>81</v>
      </c>
      <c r="Q6" s="4" t="s">
        <v>92</v>
      </c>
      <c r="R6" s="6" t="s">
        <v>171</v>
      </c>
      <c r="S6" s="6" t="s">
        <v>172</v>
      </c>
      <c r="T6" s="3" t="s">
        <v>53</v>
      </c>
      <c r="U6" s="11"/>
      <c r="V6" s="11"/>
      <c r="W6" s="12" t="str">
        <f t="shared" ca="1" si="0"/>
        <v/>
      </c>
      <c r="X6" s="14">
        <v>0.35</v>
      </c>
      <c r="Y6" s="6" t="s">
        <v>173</v>
      </c>
      <c r="Z6" s="4" t="s">
        <v>93</v>
      </c>
      <c r="AA6" s="6"/>
      <c r="AB6" s="6"/>
      <c r="AC6" s="6"/>
      <c r="AD6" s="13"/>
      <c r="AE6" s="12" t="e">
        <f>IF(AND(K6&lt;&gt;"",#REF!&lt;&gt;""),#REF!-K6,"")</f>
        <v>#REF!</v>
      </c>
    </row>
    <row r="7" spans="2:31" ht="21" customHeight="1" x14ac:dyDescent="0.3">
      <c r="B7" s="15" t="s">
        <v>174</v>
      </c>
      <c r="C7" s="16" t="s">
        <v>175</v>
      </c>
      <c r="D7" s="17" t="s">
        <v>28</v>
      </c>
      <c r="E7" s="17" t="s">
        <v>78</v>
      </c>
      <c r="F7" s="17" t="s">
        <v>79</v>
      </c>
      <c r="G7" s="18"/>
      <c r="H7" s="18"/>
      <c r="I7" s="19">
        <v>1000</v>
      </c>
      <c r="J7" s="20"/>
      <c r="K7" s="21"/>
      <c r="L7" s="17" t="s">
        <v>44</v>
      </c>
      <c r="M7" s="22" t="s">
        <v>80</v>
      </c>
      <c r="N7" s="22" t="s">
        <v>4</v>
      </c>
      <c r="O7" s="22" t="s">
        <v>92</v>
      </c>
      <c r="P7" s="22" t="s">
        <v>81</v>
      </c>
      <c r="Q7" s="22" t="s">
        <v>92</v>
      </c>
      <c r="R7" s="16" t="s">
        <v>176</v>
      </c>
      <c r="S7" s="16" t="s">
        <v>177</v>
      </c>
      <c r="T7" s="17" t="s">
        <v>53</v>
      </c>
      <c r="U7" s="21"/>
      <c r="V7" s="21"/>
      <c r="W7" s="23" t="str">
        <f t="shared" ca="1" si="0"/>
        <v/>
      </c>
      <c r="X7" s="25">
        <v>0.35</v>
      </c>
      <c r="Y7" s="16" t="s">
        <v>178</v>
      </c>
      <c r="Z7" s="22" t="s">
        <v>93</v>
      </c>
      <c r="AA7" s="16"/>
      <c r="AB7" s="16"/>
      <c r="AC7" s="16"/>
      <c r="AD7" s="24"/>
      <c r="AE7" s="66" t="e">
        <f>IF(AND(K7&lt;&gt;"",#REF!&lt;&gt;""),#REF!-K7,"")</f>
        <v>#REF!</v>
      </c>
    </row>
    <row r="8" spans="2:31" ht="21" customHeight="1" x14ac:dyDescent="0.3">
      <c r="B8" s="7" t="s">
        <v>179</v>
      </c>
      <c r="C8" s="6" t="s">
        <v>180</v>
      </c>
      <c r="D8" s="3" t="s">
        <v>28</v>
      </c>
      <c r="E8" s="3" t="s">
        <v>78</v>
      </c>
      <c r="F8" s="3" t="s">
        <v>79</v>
      </c>
      <c r="G8" s="8"/>
      <c r="H8" s="8"/>
      <c r="I8" s="9">
        <v>250</v>
      </c>
      <c r="J8" s="10"/>
      <c r="K8" s="11"/>
      <c r="L8" s="3" t="s">
        <v>56</v>
      </c>
      <c r="M8" s="4" t="s">
        <v>80</v>
      </c>
      <c r="N8" s="4" t="s">
        <v>5</v>
      </c>
      <c r="O8" s="4" t="s">
        <v>81</v>
      </c>
      <c r="P8" s="4" t="s">
        <v>81</v>
      </c>
      <c r="Q8" s="4" t="s">
        <v>81</v>
      </c>
      <c r="R8" s="6"/>
      <c r="S8" s="6"/>
      <c r="T8" s="3" t="s">
        <v>55</v>
      </c>
      <c r="U8" s="11"/>
      <c r="V8" s="11"/>
      <c r="W8" s="12" t="str">
        <f t="shared" ca="1" si="0"/>
        <v/>
      </c>
      <c r="X8" s="14">
        <v>1</v>
      </c>
      <c r="Y8" s="6" t="s">
        <v>162</v>
      </c>
      <c r="Z8" s="4" t="s">
        <v>93</v>
      </c>
      <c r="AA8" s="6"/>
      <c r="AB8" s="6"/>
      <c r="AC8" s="6"/>
      <c r="AD8" s="13"/>
      <c r="AE8" s="12" t="e">
        <f>IF(AND(K8&lt;&gt;"",#REF!&lt;&gt;""),#REF!-K8,"")</f>
        <v>#REF!</v>
      </c>
    </row>
    <row r="9" spans="2:31" ht="21" customHeight="1" x14ac:dyDescent="0.3">
      <c r="B9" s="15" t="s">
        <v>181</v>
      </c>
      <c r="C9" s="16" t="s">
        <v>182</v>
      </c>
      <c r="D9" s="17" t="s">
        <v>28</v>
      </c>
      <c r="E9" s="17" t="s">
        <v>78</v>
      </c>
      <c r="F9" s="17" t="s">
        <v>79</v>
      </c>
      <c r="G9" s="18"/>
      <c r="H9" s="18"/>
      <c r="I9" s="19">
        <v>100</v>
      </c>
      <c r="J9" s="20"/>
      <c r="K9" s="21"/>
      <c r="L9" s="17" t="s">
        <v>56</v>
      </c>
      <c r="M9" s="22" t="s">
        <v>80</v>
      </c>
      <c r="N9" s="22" t="s">
        <v>5</v>
      </c>
      <c r="O9" s="22" t="s">
        <v>81</v>
      </c>
      <c r="P9" s="22" t="s">
        <v>81</v>
      </c>
      <c r="Q9" s="22" t="s">
        <v>81</v>
      </c>
      <c r="R9" s="16"/>
      <c r="S9" s="16"/>
      <c r="T9" s="17" t="s">
        <v>55</v>
      </c>
      <c r="U9" s="21"/>
      <c r="V9" s="21"/>
      <c r="W9" s="23" t="str">
        <f t="shared" ca="1" si="0"/>
        <v/>
      </c>
      <c r="X9" s="25">
        <v>1</v>
      </c>
      <c r="Y9" s="16" t="s">
        <v>162</v>
      </c>
      <c r="Z9" s="22" t="s">
        <v>93</v>
      </c>
      <c r="AA9" s="16"/>
      <c r="AB9" s="16"/>
      <c r="AC9" s="16"/>
      <c r="AD9" s="24"/>
      <c r="AE9" s="66" t="e">
        <f>IF(AND(K9&lt;&gt;"",#REF!&lt;&gt;""),#REF!-K9,"")</f>
        <v>#REF!</v>
      </c>
    </row>
    <row r="10" spans="2:31" ht="21" customHeight="1" x14ac:dyDescent="0.3">
      <c r="B10" s="7" t="s">
        <v>183</v>
      </c>
      <c r="C10" s="6" t="s">
        <v>184</v>
      </c>
      <c r="D10" s="3" t="s">
        <v>28</v>
      </c>
      <c r="E10" s="3" t="s">
        <v>78</v>
      </c>
      <c r="F10" s="3" t="s">
        <v>79</v>
      </c>
      <c r="G10" s="8"/>
      <c r="H10" s="8"/>
      <c r="I10" s="9">
        <v>500</v>
      </c>
      <c r="J10" s="10"/>
      <c r="K10" s="11"/>
      <c r="L10" s="3" t="s">
        <v>46</v>
      </c>
      <c r="M10" s="4" t="s">
        <v>80</v>
      </c>
      <c r="N10" s="4" t="s">
        <v>4</v>
      </c>
      <c r="O10" s="4" t="s">
        <v>92</v>
      </c>
      <c r="P10" s="4" t="s">
        <v>81</v>
      </c>
      <c r="Q10" s="4" t="s">
        <v>92</v>
      </c>
      <c r="R10" s="6"/>
      <c r="S10" s="6" t="s">
        <v>185</v>
      </c>
      <c r="T10" s="3" t="s">
        <v>53</v>
      </c>
      <c r="U10" s="11"/>
      <c r="V10" s="11"/>
      <c r="W10" s="12" t="str">
        <f t="shared" ca="1" si="0"/>
        <v/>
      </c>
      <c r="X10" s="14">
        <v>0.5</v>
      </c>
      <c r="Y10" s="6" t="s">
        <v>186</v>
      </c>
      <c r="Z10" s="4" t="s">
        <v>93</v>
      </c>
      <c r="AA10" s="6"/>
      <c r="AB10" s="6"/>
      <c r="AC10" s="6"/>
      <c r="AD10" s="13"/>
      <c r="AE10" s="12" t="e">
        <f>IF(AND(K10&lt;&gt;"",#REF!&lt;&gt;""),#REF!-K10,"")</f>
        <v>#REF!</v>
      </c>
    </row>
    <row r="11" spans="2:31" ht="21" customHeight="1" x14ac:dyDescent="0.3">
      <c r="B11" s="15" t="s">
        <v>187</v>
      </c>
      <c r="C11" s="16" t="s">
        <v>188</v>
      </c>
      <c r="D11" s="17" t="s">
        <v>30</v>
      </c>
      <c r="E11" s="17" t="s">
        <v>78</v>
      </c>
      <c r="F11" s="17" t="s">
        <v>79</v>
      </c>
      <c r="G11" s="18"/>
      <c r="H11" s="18"/>
      <c r="I11" s="19">
        <v>1500</v>
      </c>
      <c r="J11" s="20"/>
      <c r="K11" s="21"/>
      <c r="L11" s="17" t="s">
        <v>56</v>
      </c>
      <c r="M11" s="22" t="s">
        <v>80</v>
      </c>
      <c r="N11" s="22" t="s">
        <v>5</v>
      </c>
      <c r="O11" s="22" t="s">
        <v>81</v>
      </c>
      <c r="P11" s="22" t="s">
        <v>81</v>
      </c>
      <c r="Q11" s="22" t="s">
        <v>81</v>
      </c>
      <c r="R11" s="16" t="s">
        <v>189</v>
      </c>
      <c r="S11" s="16" t="s">
        <v>190</v>
      </c>
      <c r="T11" s="17" t="s">
        <v>55</v>
      </c>
      <c r="U11" s="21"/>
      <c r="V11" s="21"/>
      <c r="W11" s="23" t="str">
        <f t="shared" ca="1" si="0"/>
        <v/>
      </c>
      <c r="X11" s="25">
        <v>1</v>
      </c>
      <c r="Y11" s="16" t="s">
        <v>162</v>
      </c>
      <c r="Z11" s="22" t="s">
        <v>82</v>
      </c>
      <c r="AA11" s="16" t="s">
        <v>191</v>
      </c>
      <c r="AB11" s="16" t="s">
        <v>192</v>
      </c>
      <c r="AC11" s="16"/>
      <c r="AD11" s="24"/>
      <c r="AE11" s="66" t="e">
        <f>IF(AND(K11&lt;&gt;"",#REF!&lt;&gt;""),#REF!-K11,"")</f>
        <v>#REF!</v>
      </c>
    </row>
    <row r="12" spans="2:31" ht="21" customHeight="1" x14ac:dyDescent="0.3">
      <c r="B12" s="7" t="s">
        <v>193</v>
      </c>
      <c r="C12" s="6" t="s">
        <v>194</v>
      </c>
      <c r="D12" s="3" t="s">
        <v>28</v>
      </c>
      <c r="E12" s="3" t="s">
        <v>78</v>
      </c>
      <c r="F12" s="3" t="s">
        <v>79</v>
      </c>
      <c r="G12" s="8"/>
      <c r="H12" s="8"/>
      <c r="I12" s="9">
        <v>2000</v>
      </c>
      <c r="J12" s="10"/>
      <c r="K12" s="11"/>
      <c r="L12" s="3" t="s">
        <v>48</v>
      </c>
      <c r="M12" s="4" t="s">
        <v>80</v>
      </c>
      <c r="N12" s="4" t="s">
        <v>4</v>
      </c>
      <c r="O12" s="4" t="s">
        <v>92</v>
      </c>
      <c r="P12" s="4" t="s">
        <v>81</v>
      </c>
      <c r="Q12" s="4" t="s">
        <v>81</v>
      </c>
      <c r="R12" s="6" t="s">
        <v>195</v>
      </c>
      <c r="S12" s="6" t="s">
        <v>196</v>
      </c>
      <c r="T12" s="3" t="s">
        <v>53</v>
      </c>
      <c r="U12" s="11"/>
      <c r="V12" s="11"/>
      <c r="W12" s="12" t="str">
        <f t="shared" ca="1" si="0"/>
        <v/>
      </c>
      <c r="X12" s="14">
        <v>0.6</v>
      </c>
      <c r="Y12" s="6" t="s">
        <v>197</v>
      </c>
      <c r="Z12" s="4" t="s">
        <v>93</v>
      </c>
      <c r="AA12" s="6"/>
      <c r="AB12" s="6"/>
      <c r="AC12" s="6"/>
      <c r="AD12" s="11">
        <v>46173</v>
      </c>
      <c r="AE12" s="12" t="e">
        <f>IF(AND(K12&lt;&gt;"",#REF!&lt;&gt;""),#REF!-K12,"")</f>
        <v>#REF!</v>
      </c>
    </row>
    <row r="13" spans="2:31" ht="21" customHeight="1" x14ac:dyDescent="0.3">
      <c r="B13" s="15" t="s">
        <v>198</v>
      </c>
      <c r="C13" s="16" t="s">
        <v>199</v>
      </c>
      <c r="D13" s="17" t="s">
        <v>28</v>
      </c>
      <c r="E13" s="17" t="s">
        <v>78</v>
      </c>
      <c r="F13" s="17" t="s">
        <v>79</v>
      </c>
      <c r="G13" s="18"/>
      <c r="H13" s="18"/>
      <c r="I13" s="19">
        <v>3000</v>
      </c>
      <c r="J13" s="20"/>
      <c r="K13" s="21"/>
      <c r="L13" s="17" t="s">
        <v>44</v>
      </c>
      <c r="M13" s="22" t="s">
        <v>80</v>
      </c>
      <c r="N13" s="22" t="s">
        <v>4</v>
      </c>
      <c r="O13" s="22" t="s">
        <v>92</v>
      </c>
      <c r="P13" s="22" t="s">
        <v>81</v>
      </c>
      <c r="Q13" s="22" t="s">
        <v>81</v>
      </c>
      <c r="R13" s="16"/>
      <c r="S13" s="16" t="s">
        <v>200</v>
      </c>
      <c r="T13" s="17" t="s">
        <v>53</v>
      </c>
      <c r="U13" s="21"/>
      <c r="V13" s="21"/>
      <c r="W13" s="23" t="str">
        <f t="shared" ca="1" si="0"/>
        <v/>
      </c>
      <c r="X13" s="25">
        <v>0.35</v>
      </c>
      <c r="Y13" s="16" t="s">
        <v>201</v>
      </c>
      <c r="Z13" s="22" t="s">
        <v>93</v>
      </c>
      <c r="AA13" s="16"/>
      <c r="AB13" s="16"/>
      <c r="AC13" s="16"/>
      <c r="AD13" s="24"/>
      <c r="AE13" s="66" t="e">
        <f>IF(AND(K13&lt;&gt;"",#REF!&lt;&gt;""),#REF!-K13,"")</f>
        <v>#REF!</v>
      </c>
    </row>
    <row r="14" spans="2:31" ht="21" customHeight="1" x14ac:dyDescent="0.3">
      <c r="B14" s="7" t="s">
        <v>202</v>
      </c>
      <c r="C14" s="6" t="s">
        <v>203</v>
      </c>
      <c r="D14" s="3" t="s">
        <v>30</v>
      </c>
      <c r="E14" s="3" t="s">
        <v>90</v>
      </c>
      <c r="F14" s="3" t="s">
        <v>79</v>
      </c>
      <c r="G14" s="8"/>
      <c r="H14" s="8"/>
      <c r="I14" s="9">
        <v>1000</v>
      </c>
      <c r="J14" s="10"/>
      <c r="K14" s="11"/>
      <c r="L14" s="3" t="s">
        <v>46</v>
      </c>
      <c r="M14" s="4" t="s">
        <v>104</v>
      </c>
      <c r="N14" s="4" t="s">
        <v>4</v>
      </c>
      <c r="O14" s="4" t="s">
        <v>92</v>
      </c>
      <c r="P14" s="4" t="s">
        <v>92</v>
      </c>
      <c r="Q14" s="4" t="s">
        <v>92</v>
      </c>
      <c r="R14" s="6" t="s">
        <v>204</v>
      </c>
      <c r="S14" s="6" t="s">
        <v>205</v>
      </c>
      <c r="T14" s="3" t="s">
        <v>53</v>
      </c>
      <c r="U14" s="11"/>
      <c r="V14" s="11"/>
      <c r="W14" s="12" t="str">
        <f t="shared" ca="1" si="0"/>
        <v/>
      </c>
      <c r="X14" s="14">
        <v>0.2</v>
      </c>
      <c r="Y14" s="6" t="s">
        <v>206</v>
      </c>
      <c r="Z14" s="4" t="s">
        <v>93</v>
      </c>
      <c r="AA14" s="6"/>
      <c r="AB14" s="6"/>
      <c r="AC14" s="6"/>
      <c r="AD14" s="13"/>
      <c r="AE14" s="12" t="e">
        <f>IF(AND(K14&lt;&gt;"",#REF!&lt;&gt;""),#REF!-K14,"")</f>
        <v>#REF!</v>
      </c>
    </row>
    <row r="15" spans="2:31" ht="21" customHeight="1" x14ac:dyDescent="0.3">
      <c r="B15" s="15" t="s">
        <v>207</v>
      </c>
      <c r="C15" s="16" t="s">
        <v>208</v>
      </c>
      <c r="D15" s="17" t="s">
        <v>28</v>
      </c>
      <c r="E15" s="17" t="s">
        <v>78</v>
      </c>
      <c r="F15" s="17" t="s">
        <v>79</v>
      </c>
      <c r="G15" s="18" t="s">
        <v>343</v>
      </c>
      <c r="H15" s="18"/>
      <c r="I15" s="19">
        <v>100000</v>
      </c>
      <c r="J15" s="20"/>
      <c r="K15" s="21"/>
      <c r="L15" s="17" t="s">
        <v>44</v>
      </c>
      <c r="M15" s="22" t="s">
        <v>80</v>
      </c>
      <c r="N15" s="22" t="s">
        <v>4</v>
      </c>
      <c r="O15" s="22" t="s">
        <v>92</v>
      </c>
      <c r="P15" s="22" t="s">
        <v>81</v>
      </c>
      <c r="Q15" s="22" t="s">
        <v>81</v>
      </c>
      <c r="R15" s="16" t="s">
        <v>209</v>
      </c>
      <c r="S15" s="16" t="s">
        <v>210</v>
      </c>
      <c r="T15" s="17" t="s">
        <v>53</v>
      </c>
      <c r="U15" s="21"/>
      <c r="V15" s="21"/>
      <c r="W15" s="23" t="str">
        <f t="shared" ca="1" si="0"/>
        <v/>
      </c>
      <c r="X15" s="25">
        <v>0.35</v>
      </c>
      <c r="Y15" s="16" t="s">
        <v>186</v>
      </c>
      <c r="Z15" s="22" t="s">
        <v>82</v>
      </c>
      <c r="AA15" s="16" t="s">
        <v>211</v>
      </c>
      <c r="AB15" s="16"/>
      <c r="AC15" s="16"/>
      <c r="AD15" s="24"/>
      <c r="AE15" s="66" t="e">
        <f>IF(AND(K15&lt;&gt;"",#REF!&lt;&gt;""),#REF!-K15,"")</f>
        <v>#REF!</v>
      </c>
    </row>
    <row r="16" spans="2:31" ht="21" customHeight="1" x14ac:dyDescent="0.3">
      <c r="B16" s="7" t="s">
        <v>212</v>
      </c>
      <c r="C16" s="6" t="s">
        <v>213</v>
      </c>
      <c r="D16" s="3" t="s">
        <v>30</v>
      </c>
      <c r="E16" s="3" t="s">
        <v>78</v>
      </c>
      <c r="F16" s="3" t="s">
        <v>130</v>
      </c>
      <c r="G16" s="8" t="s">
        <v>342</v>
      </c>
      <c r="H16" s="8"/>
      <c r="I16" s="9">
        <v>6000</v>
      </c>
      <c r="J16" s="10"/>
      <c r="K16" s="11"/>
      <c r="L16" s="3" t="s">
        <v>35</v>
      </c>
      <c r="M16" s="4" t="s">
        <v>80</v>
      </c>
      <c r="N16" s="4" t="s">
        <v>112</v>
      </c>
      <c r="O16" s="4" t="s">
        <v>105</v>
      </c>
      <c r="P16" s="4" t="s">
        <v>92</v>
      </c>
      <c r="Q16" s="4" t="s">
        <v>81</v>
      </c>
      <c r="R16" s="6"/>
      <c r="S16" s="6" t="s">
        <v>214</v>
      </c>
      <c r="T16" s="3" t="s">
        <v>53</v>
      </c>
      <c r="U16" s="11"/>
      <c r="V16" s="11"/>
      <c r="W16" s="12" t="str">
        <f t="shared" ca="1" si="0"/>
        <v/>
      </c>
      <c r="X16" s="14">
        <v>0.05</v>
      </c>
      <c r="Y16" s="6" t="s">
        <v>215</v>
      </c>
      <c r="Z16" s="4" t="s">
        <v>93</v>
      </c>
      <c r="AA16" s="6"/>
      <c r="AB16" s="6" t="s">
        <v>7</v>
      </c>
      <c r="AC16" s="6" t="s">
        <v>216</v>
      </c>
      <c r="AD16" s="13"/>
      <c r="AE16" s="12" t="e">
        <f>IF(AND(K16&lt;&gt;"",#REF!&lt;&gt;""),#REF!-K16,"")</f>
        <v>#REF!</v>
      </c>
    </row>
    <row r="17" spans="2:31" ht="21" customHeight="1" x14ac:dyDescent="0.3">
      <c r="B17" s="15" t="s">
        <v>217</v>
      </c>
      <c r="C17" s="16" t="s">
        <v>218</v>
      </c>
      <c r="D17" s="17" t="s">
        <v>28</v>
      </c>
      <c r="E17" s="17" t="s">
        <v>78</v>
      </c>
      <c r="F17" s="17" t="s">
        <v>79</v>
      </c>
      <c r="G17" s="18" t="s">
        <v>244</v>
      </c>
      <c r="H17" s="18"/>
      <c r="I17" s="19">
        <v>200</v>
      </c>
      <c r="J17" s="20"/>
      <c r="K17" s="21"/>
      <c r="L17" s="17" t="s">
        <v>41</v>
      </c>
      <c r="M17" s="22" t="s">
        <v>104</v>
      </c>
      <c r="N17" s="22" t="s">
        <v>4</v>
      </c>
      <c r="O17" s="22" t="s">
        <v>105</v>
      </c>
      <c r="P17" s="22" t="s">
        <v>81</v>
      </c>
      <c r="Q17" s="22" t="s">
        <v>92</v>
      </c>
      <c r="R17" s="16"/>
      <c r="S17" s="16" t="s">
        <v>219</v>
      </c>
      <c r="T17" s="17" t="s">
        <v>53</v>
      </c>
      <c r="U17" s="21"/>
      <c r="V17" s="21"/>
      <c r="W17" s="23" t="str">
        <f t="shared" ca="1" si="0"/>
        <v/>
      </c>
      <c r="X17" s="25">
        <v>0.2</v>
      </c>
      <c r="Y17" s="16" t="s">
        <v>220</v>
      </c>
      <c r="Z17" s="22" t="s">
        <v>93</v>
      </c>
      <c r="AA17" s="16"/>
      <c r="AB17" s="16"/>
      <c r="AC17" s="16"/>
      <c r="AD17" s="24"/>
      <c r="AE17" s="66" t="e">
        <f>IF(AND(K17&lt;&gt;"",#REF!&lt;&gt;""),#REF!-K17,"")</f>
        <v>#REF!</v>
      </c>
    </row>
    <row r="18" spans="2:31" ht="21" customHeight="1" x14ac:dyDescent="0.3">
      <c r="B18" s="7" t="s">
        <v>221</v>
      </c>
      <c r="C18" s="6" t="s">
        <v>222</v>
      </c>
      <c r="D18" s="3" t="s">
        <v>30</v>
      </c>
      <c r="E18" s="3" t="s">
        <v>78</v>
      </c>
      <c r="F18" s="3" t="s">
        <v>103</v>
      </c>
      <c r="G18" s="8" t="s">
        <v>344</v>
      </c>
      <c r="H18" s="8"/>
      <c r="I18" s="9">
        <v>200</v>
      </c>
      <c r="J18" s="10"/>
      <c r="K18" s="11"/>
      <c r="L18" s="3" t="s">
        <v>39</v>
      </c>
      <c r="M18" s="4" t="s">
        <v>104</v>
      </c>
      <c r="N18" s="4" t="s">
        <v>4</v>
      </c>
      <c r="O18" s="4" t="s">
        <v>105</v>
      </c>
      <c r="P18" s="4" t="s">
        <v>92</v>
      </c>
      <c r="Q18" s="4" t="s">
        <v>92</v>
      </c>
      <c r="R18" s="6"/>
      <c r="S18" s="6" t="s">
        <v>223</v>
      </c>
      <c r="T18" s="3" t="s">
        <v>53</v>
      </c>
      <c r="U18" s="11"/>
      <c r="V18" s="11"/>
      <c r="W18" s="12" t="str">
        <f t="shared" ca="1" si="0"/>
        <v/>
      </c>
      <c r="X18" s="14">
        <v>0.15</v>
      </c>
      <c r="Y18" s="6" t="s">
        <v>224</v>
      </c>
      <c r="Z18" s="4" t="s">
        <v>93</v>
      </c>
      <c r="AA18" s="6"/>
      <c r="AB18" s="6"/>
      <c r="AC18" s="6"/>
      <c r="AD18" s="13"/>
      <c r="AE18" s="12" t="e">
        <f>IF(AND(K18&lt;&gt;"",#REF!&lt;&gt;""),#REF!-K18,"")</f>
        <v>#REF!</v>
      </c>
    </row>
    <row r="19" spans="2:31" ht="21" customHeight="1" x14ac:dyDescent="0.3">
      <c r="B19" s="15" t="s">
        <v>225</v>
      </c>
      <c r="C19" s="16" t="s">
        <v>226</v>
      </c>
      <c r="D19" s="17" t="s">
        <v>28</v>
      </c>
      <c r="E19" s="17" t="s">
        <v>78</v>
      </c>
      <c r="F19" s="17" t="s">
        <v>79</v>
      </c>
      <c r="G19" s="18"/>
      <c r="H19" s="18"/>
      <c r="I19" s="19">
        <v>150</v>
      </c>
      <c r="J19" s="20"/>
      <c r="K19" s="21"/>
      <c r="L19" s="17" t="s">
        <v>39</v>
      </c>
      <c r="M19" s="22" t="s">
        <v>104</v>
      </c>
      <c r="N19" s="22" t="s">
        <v>4</v>
      </c>
      <c r="O19" s="22" t="s">
        <v>105</v>
      </c>
      <c r="P19" s="22" t="s">
        <v>81</v>
      </c>
      <c r="Q19" s="22" t="s">
        <v>92</v>
      </c>
      <c r="R19" s="16"/>
      <c r="S19" s="16" t="s">
        <v>227</v>
      </c>
      <c r="T19" s="17" t="s">
        <v>53</v>
      </c>
      <c r="U19" s="21"/>
      <c r="V19" s="21"/>
      <c r="W19" s="23" t="str">
        <f t="shared" ca="1" si="0"/>
        <v/>
      </c>
      <c r="X19" s="25">
        <v>0.15</v>
      </c>
      <c r="Y19" s="16" t="s">
        <v>228</v>
      </c>
      <c r="Z19" s="22" t="s">
        <v>93</v>
      </c>
      <c r="AA19" s="16"/>
      <c r="AB19" s="16"/>
      <c r="AC19" s="16"/>
      <c r="AD19" s="24"/>
      <c r="AE19" s="66" t="e">
        <f>IF(AND(K19&lt;&gt;"",#REF!&lt;&gt;""),#REF!-K19,"")</f>
        <v>#REF!</v>
      </c>
    </row>
    <row r="20" spans="2:31" ht="21" customHeight="1" x14ac:dyDescent="0.3">
      <c r="B20" s="7" t="s">
        <v>229</v>
      </c>
      <c r="C20" s="6" t="s">
        <v>230</v>
      </c>
      <c r="D20" s="3" t="s">
        <v>30</v>
      </c>
      <c r="E20" s="3" t="s">
        <v>90</v>
      </c>
      <c r="F20" s="3" t="s">
        <v>79</v>
      </c>
      <c r="G20" s="8"/>
      <c r="H20" s="8"/>
      <c r="I20" s="9">
        <v>1000</v>
      </c>
      <c r="J20" s="10"/>
      <c r="K20" s="11"/>
      <c r="L20" s="3" t="s">
        <v>46</v>
      </c>
      <c r="M20" s="4" t="s">
        <v>104</v>
      </c>
      <c r="N20" s="4" t="s">
        <v>4</v>
      </c>
      <c r="O20" s="4" t="s">
        <v>105</v>
      </c>
      <c r="P20" s="4" t="s">
        <v>92</v>
      </c>
      <c r="Q20" s="4" t="s">
        <v>92</v>
      </c>
      <c r="R20" s="6" t="s">
        <v>204</v>
      </c>
      <c r="S20" s="6" t="s">
        <v>231</v>
      </c>
      <c r="T20" s="3" t="s">
        <v>53</v>
      </c>
      <c r="U20" s="11"/>
      <c r="V20" s="11"/>
      <c r="W20" s="12" t="str">
        <f t="shared" ca="1" si="0"/>
        <v/>
      </c>
      <c r="X20" s="14">
        <v>0.2</v>
      </c>
      <c r="Y20" s="6" t="s">
        <v>232</v>
      </c>
      <c r="Z20" s="4" t="s">
        <v>93</v>
      </c>
      <c r="AA20" s="6"/>
      <c r="AB20" s="6"/>
      <c r="AC20" s="6"/>
      <c r="AD20" s="13"/>
      <c r="AE20" s="12" t="e">
        <f>IF(AND(K20&lt;&gt;"",#REF!&lt;&gt;""),#REF!-K20,"")</f>
        <v>#REF!</v>
      </c>
    </row>
    <row r="21" spans="2:31" ht="21" customHeight="1" x14ac:dyDescent="0.3">
      <c r="B21" s="15" t="s">
        <v>233</v>
      </c>
      <c r="C21" s="16" t="s">
        <v>234</v>
      </c>
      <c r="D21" s="17" t="s">
        <v>32</v>
      </c>
      <c r="E21" s="17" t="s">
        <v>78</v>
      </c>
      <c r="F21" s="17" t="s">
        <v>79</v>
      </c>
      <c r="G21" s="18"/>
      <c r="H21" s="18"/>
      <c r="I21" s="26"/>
      <c r="J21" s="20"/>
      <c r="K21" s="21"/>
      <c r="L21" s="17" t="s">
        <v>56</v>
      </c>
      <c r="M21" s="22" t="s">
        <v>80</v>
      </c>
      <c r="N21" s="22" t="s">
        <v>5</v>
      </c>
      <c r="O21" s="22" t="s">
        <v>81</v>
      </c>
      <c r="P21" s="22" t="s">
        <v>81</v>
      </c>
      <c r="Q21" s="22" t="s">
        <v>81</v>
      </c>
      <c r="R21" s="16"/>
      <c r="S21" s="16"/>
      <c r="T21" s="17" t="s">
        <v>55</v>
      </c>
      <c r="U21" s="21"/>
      <c r="V21" s="21"/>
      <c r="W21" s="23" t="str">
        <f t="shared" ca="1" si="0"/>
        <v/>
      </c>
      <c r="X21" s="25">
        <v>1</v>
      </c>
      <c r="Y21" s="16" t="s">
        <v>235</v>
      </c>
      <c r="Z21" s="22" t="s">
        <v>93</v>
      </c>
      <c r="AA21" s="16"/>
      <c r="AB21" s="16" t="s">
        <v>236</v>
      </c>
      <c r="AC21" s="16"/>
      <c r="AD21" s="24"/>
      <c r="AE21" s="66" t="e">
        <f>IF(AND(K21&lt;&gt;"",#REF!&lt;&gt;""),#REF!-K21,"")</f>
        <v>#REF!</v>
      </c>
    </row>
    <row r="22" spans="2:31" ht="21" customHeight="1" x14ac:dyDescent="0.3">
      <c r="B22" s="7" t="s">
        <v>237</v>
      </c>
      <c r="C22" s="6" t="s">
        <v>238</v>
      </c>
      <c r="D22" s="3" t="s">
        <v>32</v>
      </c>
      <c r="E22" s="3" t="s">
        <v>78</v>
      </c>
      <c r="F22" s="3" t="s">
        <v>79</v>
      </c>
      <c r="G22" s="8"/>
      <c r="H22" s="8"/>
      <c r="I22" s="27"/>
      <c r="J22" s="10"/>
      <c r="K22" s="11"/>
      <c r="L22" s="3" t="s">
        <v>56</v>
      </c>
      <c r="M22" s="4" t="s">
        <v>80</v>
      </c>
      <c r="N22" s="4" t="s">
        <v>5</v>
      </c>
      <c r="O22" s="4" t="s">
        <v>81</v>
      </c>
      <c r="P22" s="4" t="s">
        <v>81</v>
      </c>
      <c r="Q22" s="4" t="s">
        <v>81</v>
      </c>
      <c r="R22" s="6"/>
      <c r="S22" s="6"/>
      <c r="T22" s="3" t="s">
        <v>55</v>
      </c>
      <c r="U22" s="11"/>
      <c r="V22" s="11"/>
      <c r="W22" s="12" t="str">
        <f t="shared" ca="1" si="0"/>
        <v/>
      </c>
      <c r="X22" s="14">
        <v>1</v>
      </c>
      <c r="Y22" s="6" t="s">
        <v>235</v>
      </c>
      <c r="Z22" s="4" t="s">
        <v>93</v>
      </c>
      <c r="AA22" s="6"/>
      <c r="AB22" s="6" t="s">
        <v>236</v>
      </c>
      <c r="AC22" s="6"/>
      <c r="AD22" s="13"/>
      <c r="AE22" s="12" t="e">
        <f>IF(AND(K22&lt;&gt;"",#REF!&lt;&gt;""),#REF!-K22,"")</f>
        <v>#REF!</v>
      </c>
    </row>
    <row r="23" spans="2:31" ht="21" customHeight="1" x14ac:dyDescent="0.3">
      <c r="B23" s="15" t="s">
        <v>239</v>
      </c>
      <c r="C23" s="16" t="s">
        <v>240</v>
      </c>
      <c r="D23" s="17" t="s">
        <v>32</v>
      </c>
      <c r="E23" s="17" t="s">
        <v>78</v>
      </c>
      <c r="F23" s="17" t="s">
        <v>79</v>
      </c>
      <c r="G23" s="18"/>
      <c r="H23" s="18"/>
      <c r="I23" s="26"/>
      <c r="J23" s="20"/>
      <c r="K23" s="21"/>
      <c r="L23" s="17" t="s">
        <v>56</v>
      </c>
      <c r="M23" s="22" t="s">
        <v>80</v>
      </c>
      <c r="N23" s="22" t="s">
        <v>5</v>
      </c>
      <c r="O23" s="22" t="s">
        <v>81</v>
      </c>
      <c r="P23" s="22" t="s">
        <v>81</v>
      </c>
      <c r="Q23" s="22" t="s">
        <v>81</v>
      </c>
      <c r="R23" s="16"/>
      <c r="S23" s="16"/>
      <c r="T23" s="17" t="s">
        <v>55</v>
      </c>
      <c r="U23" s="21"/>
      <c r="V23" s="21"/>
      <c r="W23" s="23" t="str">
        <f t="shared" ca="1" si="0"/>
        <v/>
      </c>
      <c r="X23" s="25">
        <v>1</v>
      </c>
      <c r="Y23" s="16" t="s">
        <v>241</v>
      </c>
      <c r="Z23" s="22" t="s">
        <v>93</v>
      </c>
      <c r="AA23" s="16"/>
      <c r="AB23" s="16" t="s">
        <v>236</v>
      </c>
      <c r="AC23" s="16"/>
      <c r="AD23" s="24"/>
      <c r="AE23" s="66" t="e">
        <f>IF(AND(K23&lt;&gt;"",#REF!&lt;&gt;""),#REF!-K23,"")</f>
        <v>#REF!</v>
      </c>
    </row>
    <row r="24" spans="2:31" ht="21" customHeight="1" x14ac:dyDescent="0.3">
      <c r="B24" s="7" t="s">
        <v>242</v>
      </c>
      <c r="C24" s="6" t="s">
        <v>243</v>
      </c>
      <c r="D24" s="3" t="s">
        <v>34</v>
      </c>
      <c r="E24" s="3" t="s">
        <v>78</v>
      </c>
      <c r="F24" s="3" t="s">
        <v>120</v>
      </c>
      <c r="G24" s="8" t="s">
        <v>244</v>
      </c>
      <c r="H24" s="8"/>
      <c r="I24" s="27"/>
      <c r="J24" s="10"/>
      <c r="K24" s="11"/>
      <c r="L24" s="3" t="s">
        <v>50</v>
      </c>
      <c r="M24" s="4" t="s">
        <v>80</v>
      </c>
      <c r="N24" s="4" t="s">
        <v>4</v>
      </c>
      <c r="O24" s="4" t="s">
        <v>81</v>
      </c>
      <c r="P24" s="4" t="s">
        <v>81</v>
      </c>
      <c r="Q24" s="4" t="s">
        <v>81</v>
      </c>
      <c r="R24" s="6"/>
      <c r="S24" s="6" t="s">
        <v>245</v>
      </c>
      <c r="T24" s="3" t="s">
        <v>53</v>
      </c>
      <c r="U24" s="11"/>
      <c r="V24" s="11"/>
      <c r="W24" s="12" t="str">
        <f t="shared" ca="1" si="0"/>
        <v/>
      </c>
      <c r="X24" s="14">
        <v>0.75</v>
      </c>
      <c r="Y24" s="6" t="s">
        <v>246</v>
      </c>
      <c r="Z24" s="4" t="s">
        <v>93</v>
      </c>
      <c r="AA24" s="6"/>
      <c r="AB24" s="6"/>
      <c r="AC24" s="6"/>
      <c r="AD24" s="13"/>
      <c r="AE24" s="12" t="e">
        <f>IF(AND(K24&lt;&gt;"",#REF!&lt;&gt;""),#REF!-K24,"")</f>
        <v>#REF!</v>
      </c>
    </row>
    <row r="25" spans="2:31" ht="21" customHeight="1" x14ac:dyDescent="0.3">
      <c r="B25" s="15" t="s">
        <v>247</v>
      </c>
      <c r="C25" s="16" t="s">
        <v>248</v>
      </c>
      <c r="D25" s="17" t="s">
        <v>36</v>
      </c>
      <c r="E25" s="17" t="s">
        <v>102</v>
      </c>
      <c r="F25" s="17" t="s">
        <v>120</v>
      </c>
      <c r="G25" s="18"/>
      <c r="H25" s="18"/>
      <c r="I25" s="26"/>
      <c r="J25" s="20"/>
      <c r="K25" s="21"/>
      <c r="L25" s="17" t="s">
        <v>37</v>
      </c>
      <c r="M25" s="22" t="s">
        <v>80</v>
      </c>
      <c r="N25" s="22" t="s">
        <v>4</v>
      </c>
      <c r="O25" s="22" t="s">
        <v>92</v>
      </c>
      <c r="P25" s="22" t="s">
        <v>92</v>
      </c>
      <c r="Q25" s="22" t="s">
        <v>81</v>
      </c>
      <c r="R25" s="16" t="s">
        <v>249</v>
      </c>
      <c r="S25" s="16" t="s">
        <v>250</v>
      </c>
      <c r="T25" s="17" t="s">
        <v>47</v>
      </c>
      <c r="U25" s="21"/>
      <c r="V25" s="21"/>
      <c r="W25" s="23" t="str">
        <f t="shared" ca="1" si="0"/>
        <v/>
      </c>
      <c r="X25" s="25">
        <v>0.3</v>
      </c>
      <c r="Y25" s="16" t="s">
        <v>251</v>
      </c>
      <c r="Z25" s="22" t="s">
        <v>82</v>
      </c>
      <c r="AA25" s="16" t="s">
        <v>252</v>
      </c>
      <c r="AB25" s="16"/>
      <c r="AC25" s="16"/>
      <c r="AD25" s="24"/>
      <c r="AE25" s="66" t="e">
        <f>IF(AND(K25&lt;&gt;"",#REF!&lt;&gt;""),#REF!-K25,"")</f>
        <v>#REF!</v>
      </c>
    </row>
    <row r="26" spans="2:31" ht="21" customHeight="1" x14ac:dyDescent="0.3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12" t="e">
        <f>IF(AND(K26&lt;&gt;"",#REF!&lt;&gt;""),#REF!-K26,"")</f>
        <v>#REF!</v>
      </c>
    </row>
  </sheetData>
  <mergeCells count="1">
    <mergeCell ref="B2:AE2"/>
  </mergeCells>
  <conditionalFormatting sqref="M4:M26">
    <cfRule type="cellIs" dxfId="45" priority="10" operator="equal">
      <formula>"Pass"</formula>
    </cfRule>
    <cfRule type="cellIs" dxfId="44" priority="11" operator="equal">
      <formula>"Fail"</formula>
    </cfRule>
    <cfRule type="cellIs" dxfId="43" priority="12" operator="equal">
      <formula>"Pending"</formula>
    </cfRule>
  </conditionalFormatting>
  <conditionalFormatting sqref="N4:N26">
    <cfRule type="cellIs" dxfId="42" priority="2" operator="equal">
      <formula>"Converted"</formula>
    </cfRule>
    <cfRule type="cellIs" dxfId="41" priority="3" operator="equal">
      <formula>"Active"</formula>
    </cfRule>
    <cfRule type="cellIs" dxfId="40" priority="4" operator="equal">
      <formula>"Nurture"</formula>
    </cfRule>
    <cfRule type="cellIs" dxfId="39" priority="5" operator="equal">
      <formula>"Deferred"</formula>
    </cfRule>
    <cfRule type="cellIs" dxfId="38" priority="6" operator="equal">
      <formula>"Rejected"</formula>
    </cfRule>
    <cfRule type="cellIs" dxfId="37" priority="7" operator="equal">
      <formula>"Dead / Silent"</formula>
    </cfRule>
    <cfRule type="cellIs" dxfId="36" priority="8" operator="equal">
      <formula>"Failed Knockout"</formula>
    </cfRule>
    <cfRule type="cellIs" dxfId="35" priority="9" operator="equal">
      <formula>"Cluster Potential"</formula>
    </cfRule>
  </conditionalFormatting>
  <conditionalFormatting sqref="O4:Q26">
    <cfRule type="cellIs" dxfId="34" priority="13" operator="equal">
      <formula>"High"</formula>
    </cfRule>
    <cfRule type="cellIs" dxfId="33" priority="14" operator="equal">
      <formula>"Medium"</formula>
    </cfRule>
    <cfRule type="cellIs" dxfId="32" priority="15" operator="equal">
      <formula>"Low"</formula>
    </cfRule>
  </conditionalFormatting>
  <conditionalFormatting sqref="U4:U26">
    <cfRule type="expression" dxfId="31" priority="26">
      <formula>AND($U4&lt;&gt;"",ISNUMBER($U4),$U4&lt;TODAY(),$N4&lt;&gt;"Converted",$N4&lt;&gt;"Rejected",$N4&lt;&gt;"Dead / Silent")</formula>
    </cfRule>
  </conditionalFormatting>
  <conditionalFormatting sqref="W4:W25">
    <cfRule type="cellIs" dxfId="30" priority="24" operator="greaterThan">
      <formula>60</formula>
    </cfRule>
    <cfRule type="cellIs" dxfId="29" priority="25" operator="between">
      <formula>31</formula>
      <formula>60</formula>
    </cfRule>
  </conditionalFormatting>
  <conditionalFormatting sqref="X4:X25">
    <cfRule type="colorScale" priority="23">
      <colorScale>
        <cfvo type="num" val="0"/>
        <cfvo type="num" val="0.5"/>
        <cfvo type="num" val="1"/>
        <color rgb="FFFFC7CE"/>
        <color rgb="FFFFEB9C"/>
        <color rgb="FFC6EFCE"/>
      </colorScale>
    </cfRule>
  </conditionalFormatting>
  <conditionalFormatting sqref="Z4:Z26">
    <cfRule type="cellIs" dxfId="28" priority="22" operator="equal">
      <formula>"Yes"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errorTitle="Invalid entry" error="Pick a value from the list." xr:uid="{00000000-0002-0000-0200-000000000000}">
          <x14:formula1>
            <xm:f>'Lists &amp; Data Validation'!$B$5:$B$10</xm:f>
          </x14:formula1>
          <x14:formula2>
            <xm:f>0</xm:f>
          </x14:formula2>
          <xm:sqref>D4:D26</xm:sqref>
        </x14:dataValidation>
        <x14:dataValidation type="list" allowBlank="1" errorTitle="Invalid entry" error="Pick a value from the list." xr:uid="{00000000-0002-0000-0200-000001000000}">
          <x14:formula1>
            <xm:f>'Lists &amp; Data Validation'!$C$5:$C$7</xm:f>
          </x14:formula1>
          <x14:formula2>
            <xm:f>0</xm:f>
          </x14:formula2>
          <xm:sqref>E4:E26</xm:sqref>
        </x14:dataValidation>
        <x14:dataValidation type="list" allowBlank="1" errorTitle="Invalid entry" error="Pick a value from the list." xr:uid="{00000000-0002-0000-0200-000004000000}">
          <x14:formula1>
            <xm:f>'Lists &amp; Data Validation'!$F$5:$F$7</xm:f>
          </x14:formula1>
          <x14:formula2>
            <xm:f>0</xm:f>
          </x14:formula2>
          <xm:sqref>M4:M26</xm:sqref>
        </x14:dataValidation>
        <x14:dataValidation type="list" allowBlank="1" errorTitle="Invalid entry" error="Pick a value from the list." xr:uid="{00000000-0002-0000-0200-000006000000}">
          <x14:formula1>
            <xm:f>'Lists &amp; Data Validation'!$H$5:$H$7</xm:f>
          </x14:formula1>
          <x14:formula2>
            <xm:f>0</xm:f>
          </x14:formula2>
          <xm:sqref>O4:Q26</xm:sqref>
        </x14:dataValidation>
        <x14:dataValidation type="list" allowBlank="1" errorTitle="Invalid entry" error="Pick a value from the list." xr:uid="{00000000-0002-0000-0200-000009000000}">
          <x14:formula1>
            <xm:f>'Lists &amp; Data Validation'!$I$5:$I$13</xm:f>
          </x14:formula1>
          <x14:formula2>
            <xm:f>0</xm:f>
          </x14:formula2>
          <xm:sqref>T4:T26</xm:sqref>
        </x14:dataValidation>
        <x14:dataValidation type="list" allowBlank="1" errorTitle="Invalid entry" error="Pick a value from the list." xr:uid="{00000000-0002-0000-0200-00000A000000}">
          <x14:formula1>
            <xm:f>'Lists &amp; Data Validation'!$J$5:$J$6</xm:f>
          </x14:formula1>
          <x14:formula2>
            <xm:f>0</xm:f>
          </x14:formula2>
          <xm:sqref>Z4:Z26</xm:sqref>
        </x14:dataValidation>
        <x14:dataValidation type="list" allowBlank="1" errorTitle="Invalid entry" error="Pick a value from the list." xr:uid="{00000000-0002-0000-0200-000002000000}">
          <x14:formula1>
            <xm:f>'Lists &amp; Data Validation'!$D$5:$D$11</xm:f>
          </x14:formula1>
          <x14:formula2>
            <xm:f>0</xm:f>
          </x14:formula2>
          <xm:sqref>F4:F26</xm:sqref>
        </x14:dataValidation>
        <x14:dataValidation type="list" allowBlank="1" errorTitle="Invalid entry" error="Pick a value from the list." xr:uid="{00000000-0002-0000-0200-000003000000}">
          <x14:formula1>
            <xm:f>'Lists &amp; Data Validation'!$E$5:$E$15</xm:f>
          </x14:formula1>
          <x14:formula2>
            <xm:f>0</xm:f>
          </x14:formula2>
          <xm:sqref>L4:L26</xm:sqref>
        </x14:dataValidation>
        <x14:dataValidation type="list" allowBlank="1" errorTitle="Invalid entry" error="Pick a value from the list." xr:uid="{00000000-0002-0000-0200-000005000000}">
          <x14:formula1>
            <xm:f>'Lists &amp; Data Validation'!$G$5:$G$11</xm:f>
          </x14:formula1>
          <x14:formula2>
            <xm:f>0</xm:f>
          </x14:formula2>
          <xm:sqref>N4:N26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W12"/>
  <sheetViews>
    <sheetView showGridLines="0" zoomScale="110" zoomScaleNormal="110" workbookViewId="0">
      <pane xSplit="1" ySplit="3" topLeftCell="B4" activePane="bottomRight" state="frozen"/>
      <selection activeCell="U43" sqref="U43"/>
      <selection pane="topRight" activeCell="U43" sqref="U43"/>
      <selection pane="bottomLeft" activeCell="U43" sqref="U43"/>
      <selection pane="bottomRight"/>
    </sheetView>
  </sheetViews>
  <sheetFormatPr defaultColWidth="0" defaultRowHeight="14.4" x14ac:dyDescent="0.3"/>
  <cols>
    <col min="1" max="1" width="22" customWidth="1"/>
    <col min="2" max="2" width="13" customWidth="1"/>
    <col min="3" max="3" width="18" customWidth="1"/>
    <col min="4" max="5" width="13" customWidth="1"/>
    <col min="6" max="6" width="11" customWidth="1"/>
    <col min="7" max="7" width="12" customWidth="1"/>
    <col min="8" max="8" width="13" customWidth="1"/>
    <col min="9" max="9" width="14" customWidth="1"/>
    <col min="10" max="10" width="12" customWidth="1"/>
    <col min="11" max="11" width="13" customWidth="1"/>
    <col min="12" max="12" width="22" customWidth="1"/>
    <col min="13" max="13" width="11" customWidth="1"/>
    <col min="14" max="15" width="18" customWidth="1"/>
    <col min="16" max="16" width="15" customWidth="1"/>
    <col min="17" max="17" width="18" customWidth="1"/>
    <col min="18" max="18" width="24" customWidth="1"/>
    <col min="19" max="19" width="12" customWidth="1"/>
    <col min="20" max="20" width="10" customWidth="1"/>
    <col min="21" max="21" width="12" customWidth="1"/>
    <col min="22" max="22" width="26" customWidth="1"/>
    <col min="23" max="23" width="8.6640625" customWidth="1"/>
    <col min="24" max="16384" width="8.6640625" hidden="1"/>
  </cols>
  <sheetData>
    <row r="2" spans="1:22" ht="25.5" customHeight="1" x14ac:dyDescent="0.3">
      <c r="A2" s="47" t="s">
        <v>253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 ht="45.75" customHeight="1" x14ac:dyDescent="0.3">
      <c r="A3" s="29" t="s">
        <v>254</v>
      </c>
      <c r="B3" s="29" t="s">
        <v>25</v>
      </c>
      <c r="C3" s="29" t="s">
        <v>255</v>
      </c>
      <c r="D3" s="29" t="s">
        <v>256</v>
      </c>
      <c r="E3" s="29" t="s">
        <v>257</v>
      </c>
      <c r="F3" s="29" t="s">
        <v>258</v>
      </c>
      <c r="G3" s="29" t="s">
        <v>259</v>
      </c>
      <c r="H3" s="29" t="s">
        <v>260</v>
      </c>
      <c r="I3" s="29" t="s">
        <v>261</v>
      </c>
      <c r="J3" s="29" t="s">
        <v>262</v>
      </c>
      <c r="K3" s="29" t="s">
        <v>263</v>
      </c>
      <c r="L3" s="29" t="s">
        <v>264</v>
      </c>
      <c r="M3" s="29" t="s">
        <v>265</v>
      </c>
      <c r="N3" s="29" t="s">
        <v>266</v>
      </c>
      <c r="O3" s="29" t="s">
        <v>267</v>
      </c>
      <c r="P3" s="29" t="s">
        <v>268</v>
      </c>
      <c r="Q3" s="29" t="s">
        <v>269</v>
      </c>
      <c r="R3" s="29" t="s">
        <v>148</v>
      </c>
      <c r="S3" s="29" t="s">
        <v>150</v>
      </c>
      <c r="T3" s="29" t="s">
        <v>68</v>
      </c>
      <c r="U3" s="29" t="s">
        <v>270</v>
      </c>
      <c r="V3" s="29" t="s">
        <v>271</v>
      </c>
    </row>
    <row r="4" spans="1:22" ht="24" x14ac:dyDescent="0.3">
      <c r="A4" s="30" t="s">
        <v>161</v>
      </c>
      <c r="B4" s="3" t="s">
        <v>28</v>
      </c>
      <c r="C4" s="3" t="s">
        <v>84</v>
      </c>
      <c r="D4" s="11">
        <v>45901</v>
      </c>
      <c r="E4" s="11"/>
      <c r="F4" s="12" t="str">
        <f t="shared" ref="F4:F11" ca="1" si="0">IF($E4="","",$E4-TODAY())</f>
        <v/>
      </c>
      <c r="G4" s="4" t="s">
        <v>85</v>
      </c>
      <c r="H4" s="13"/>
      <c r="I4" s="4" t="s">
        <v>86</v>
      </c>
      <c r="J4" s="4" t="s">
        <v>87</v>
      </c>
      <c r="K4" s="4" t="s">
        <v>87</v>
      </c>
      <c r="L4" s="6"/>
      <c r="M4" s="4" t="s">
        <v>105</v>
      </c>
      <c r="N4" s="6"/>
      <c r="O4" s="6"/>
      <c r="P4" s="3" t="s">
        <v>55</v>
      </c>
      <c r="Q4" s="3" t="s">
        <v>272</v>
      </c>
      <c r="R4" s="6" t="s">
        <v>273</v>
      </c>
      <c r="S4" s="11"/>
      <c r="T4" s="4" t="s">
        <v>105</v>
      </c>
      <c r="U4" s="4" t="s">
        <v>83</v>
      </c>
      <c r="V4" s="6" t="s">
        <v>274</v>
      </c>
    </row>
    <row r="5" spans="1:22" ht="24" x14ac:dyDescent="0.3">
      <c r="A5" s="31" t="s">
        <v>188</v>
      </c>
      <c r="B5" s="17" t="s">
        <v>30</v>
      </c>
      <c r="C5" s="17" t="s">
        <v>107</v>
      </c>
      <c r="D5" s="21">
        <v>45901</v>
      </c>
      <c r="E5" s="21"/>
      <c r="F5" s="23" t="str">
        <f t="shared" ca="1" si="0"/>
        <v/>
      </c>
      <c r="G5" s="22" t="s">
        <v>109</v>
      </c>
      <c r="H5" s="24"/>
      <c r="I5" s="22" t="s">
        <v>109</v>
      </c>
      <c r="J5" s="22" t="s">
        <v>87</v>
      </c>
      <c r="K5" s="22" t="s">
        <v>87</v>
      </c>
      <c r="L5" s="16" t="s">
        <v>275</v>
      </c>
      <c r="M5" s="22" t="s">
        <v>81</v>
      </c>
      <c r="N5" s="16"/>
      <c r="O5" s="32" t="s">
        <v>276</v>
      </c>
      <c r="P5" s="17" t="s">
        <v>55</v>
      </c>
      <c r="Q5" s="17" t="s">
        <v>272</v>
      </c>
      <c r="R5" s="16" t="s">
        <v>190</v>
      </c>
      <c r="S5" s="21"/>
      <c r="T5" s="22" t="s">
        <v>81</v>
      </c>
      <c r="U5" s="22" t="s">
        <v>94</v>
      </c>
      <c r="V5" s="16" t="s">
        <v>277</v>
      </c>
    </row>
    <row r="6" spans="1:22" ht="24" x14ac:dyDescent="0.3">
      <c r="A6" s="30" t="s">
        <v>234</v>
      </c>
      <c r="B6" s="3" t="s">
        <v>32</v>
      </c>
      <c r="C6" s="3" t="s">
        <v>95</v>
      </c>
      <c r="D6" s="11">
        <v>45901</v>
      </c>
      <c r="E6" s="11"/>
      <c r="F6" s="12" t="str">
        <f t="shared" ca="1" si="0"/>
        <v/>
      </c>
      <c r="G6" s="4" t="s">
        <v>85</v>
      </c>
      <c r="H6" s="13"/>
      <c r="I6" s="4" t="s">
        <v>86</v>
      </c>
      <c r="J6" s="4" t="s">
        <v>87</v>
      </c>
      <c r="K6" s="4" t="s">
        <v>87</v>
      </c>
      <c r="L6" s="6"/>
      <c r="M6" s="4" t="s">
        <v>105</v>
      </c>
      <c r="N6" s="6"/>
      <c r="O6" s="6"/>
      <c r="P6" s="3" t="s">
        <v>55</v>
      </c>
      <c r="Q6" s="3" t="s">
        <v>272</v>
      </c>
      <c r="R6" s="6" t="s">
        <v>278</v>
      </c>
      <c r="S6" s="11"/>
      <c r="T6" s="4" t="s">
        <v>105</v>
      </c>
      <c r="U6" s="4" t="s">
        <v>83</v>
      </c>
      <c r="V6" s="6" t="s">
        <v>162</v>
      </c>
    </row>
    <row r="7" spans="1:22" ht="24" x14ac:dyDescent="0.3">
      <c r="A7" s="31" t="s">
        <v>238</v>
      </c>
      <c r="B7" s="17" t="s">
        <v>32</v>
      </c>
      <c r="C7" s="17" t="s">
        <v>95</v>
      </c>
      <c r="D7" s="21">
        <v>45901</v>
      </c>
      <c r="E7" s="21"/>
      <c r="F7" s="23" t="str">
        <f t="shared" ca="1" si="0"/>
        <v/>
      </c>
      <c r="G7" s="22" t="s">
        <v>85</v>
      </c>
      <c r="H7" s="24"/>
      <c r="I7" s="22" t="s">
        <v>86</v>
      </c>
      <c r="J7" s="22" t="s">
        <v>87</v>
      </c>
      <c r="K7" s="22" t="s">
        <v>87</v>
      </c>
      <c r="L7" s="16"/>
      <c r="M7" s="22" t="s">
        <v>105</v>
      </c>
      <c r="N7" s="16"/>
      <c r="O7" s="16"/>
      <c r="P7" s="17" t="s">
        <v>55</v>
      </c>
      <c r="Q7" s="17" t="s">
        <v>272</v>
      </c>
      <c r="R7" s="16" t="s">
        <v>278</v>
      </c>
      <c r="S7" s="21"/>
      <c r="T7" s="22" t="s">
        <v>105</v>
      </c>
      <c r="U7" s="22" t="s">
        <v>83</v>
      </c>
      <c r="V7" s="16" t="s">
        <v>162</v>
      </c>
    </row>
    <row r="8" spans="1:22" ht="24" x14ac:dyDescent="0.3">
      <c r="A8" s="30" t="s">
        <v>240</v>
      </c>
      <c r="B8" s="3" t="s">
        <v>32</v>
      </c>
      <c r="C8" s="3" t="s">
        <v>95</v>
      </c>
      <c r="D8" s="11">
        <v>45901</v>
      </c>
      <c r="E8" s="11"/>
      <c r="F8" s="12" t="str">
        <f t="shared" ca="1" si="0"/>
        <v/>
      </c>
      <c r="G8" s="4" t="s">
        <v>85</v>
      </c>
      <c r="H8" s="13"/>
      <c r="I8" s="4" t="s">
        <v>86</v>
      </c>
      <c r="J8" s="4" t="s">
        <v>87</v>
      </c>
      <c r="K8" s="4" t="s">
        <v>87</v>
      </c>
      <c r="L8" s="6"/>
      <c r="M8" s="4" t="s">
        <v>105</v>
      </c>
      <c r="N8" s="6"/>
      <c r="O8" s="6"/>
      <c r="P8" s="3" t="s">
        <v>55</v>
      </c>
      <c r="Q8" s="3" t="s">
        <v>272</v>
      </c>
      <c r="R8" s="6" t="s">
        <v>278</v>
      </c>
      <c r="S8" s="11"/>
      <c r="T8" s="4" t="s">
        <v>105</v>
      </c>
      <c r="U8" s="4" t="s">
        <v>83</v>
      </c>
      <c r="V8" s="6" t="s">
        <v>162</v>
      </c>
    </row>
    <row r="9" spans="1:22" ht="24" x14ac:dyDescent="0.3">
      <c r="A9" s="31" t="s">
        <v>180</v>
      </c>
      <c r="B9" s="17" t="s">
        <v>28</v>
      </c>
      <c r="C9" s="17" t="s">
        <v>84</v>
      </c>
      <c r="D9" s="24"/>
      <c r="E9" s="21"/>
      <c r="F9" s="23" t="str">
        <f t="shared" ca="1" si="0"/>
        <v/>
      </c>
      <c r="G9" s="22" t="s">
        <v>85</v>
      </c>
      <c r="H9" s="24"/>
      <c r="I9" s="22" t="s">
        <v>86</v>
      </c>
      <c r="J9" s="22" t="s">
        <v>87</v>
      </c>
      <c r="K9" s="22" t="s">
        <v>87</v>
      </c>
      <c r="L9" s="16"/>
      <c r="M9" s="22" t="s">
        <v>105</v>
      </c>
      <c r="N9" s="16"/>
      <c r="O9" s="32" t="s">
        <v>279</v>
      </c>
      <c r="P9" s="17" t="s">
        <v>55</v>
      </c>
      <c r="Q9" s="17" t="s">
        <v>272</v>
      </c>
      <c r="R9" s="16" t="s">
        <v>280</v>
      </c>
      <c r="S9" s="21"/>
      <c r="T9" s="22" t="s">
        <v>105</v>
      </c>
      <c r="U9" s="22" t="s">
        <v>83</v>
      </c>
      <c r="V9" s="16" t="s">
        <v>162</v>
      </c>
    </row>
    <row r="10" spans="1:22" ht="24" x14ac:dyDescent="0.3">
      <c r="A10" s="30" t="s">
        <v>182</v>
      </c>
      <c r="B10" s="3" t="s">
        <v>28</v>
      </c>
      <c r="C10" s="3" t="s">
        <v>84</v>
      </c>
      <c r="D10" s="13"/>
      <c r="E10" s="11"/>
      <c r="F10" s="12" t="str">
        <f t="shared" ca="1" si="0"/>
        <v/>
      </c>
      <c r="G10" s="4" t="s">
        <v>85</v>
      </c>
      <c r="H10" s="13"/>
      <c r="I10" s="4" t="s">
        <v>86</v>
      </c>
      <c r="J10" s="4" t="s">
        <v>87</v>
      </c>
      <c r="K10" s="4" t="s">
        <v>87</v>
      </c>
      <c r="L10" s="6"/>
      <c r="M10" s="4" t="s">
        <v>105</v>
      </c>
      <c r="N10" s="6"/>
      <c r="O10" s="33" t="s">
        <v>279</v>
      </c>
      <c r="P10" s="3" t="s">
        <v>55</v>
      </c>
      <c r="Q10" s="3" t="s">
        <v>272</v>
      </c>
      <c r="R10" s="6" t="s">
        <v>280</v>
      </c>
      <c r="S10" s="11"/>
      <c r="T10" s="4" t="s">
        <v>105</v>
      </c>
      <c r="U10" s="4" t="s">
        <v>83</v>
      </c>
      <c r="V10" s="6" t="s">
        <v>162</v>
      </c>
    </row>
    <row r="11" spans="1:22" ht="24" x14ac:dyDescent="0.3">
      <c r="A11" s="31" t="s">
        <v>164</v>
      </c>
      <c r="B11" s="17" t="s">
        <v>28</v>
      </c>
      <c r="C11" s="17" t="s">
        <v>281</v>
      </c>
      <c r="D11" s="21">
        <v>45901</v>
      </c>
      <c r="E11" s="21"/>
      <c r="F11" s="23" t="str">
        <f t="shared" ca="1" si="0"/>
        <v/>
      </c>
      <c r="G11" s="22" t="s">
        <v>99</v>
      </c>
      <c r="H11" s="24"/>
      <c r="I11" s="22" t="s">
        <v>117</v>
      </c>
      <c r="J11" s="22" t="s">
        <v>87</v>
      </c>
      <c r="K11" s="22" t="s">
        <v>87</v>
      </c>
      <c r="L11" s="16" t="s">
        <v>282</v>
      </c>
      <c r="M11" s="22" t="s">
        <v>92</v>
      </c>
      <c r="N11" s="16"/>
      <c r="O11" s="32" t="s">
        <v>283</v>
      </c>
      <c r="P11" s="17" t="s">
        <v>55</v>
      </c>
      <c r="Q11" s="17" t="s">
        <v>272</v>
      </c>
      <c r="R11" s="16" t="s">
        <v>166</v>
      </c>
      <c r="S11" s="21"/>
      <c r="T11" s="22" t="s">
        <v>92</v>
      </c>
      <c r="U11" s="22" t="s">
        <v>99</v>
      </c>
      <c r="V11" s="16" t="s">
        <v>284</v>
      </c>
    </row>
    <row r="12" spans="1:22" s="43" customFormat="1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</sheetData>
  <conditionalFormatting sqref="F4:F11">
    <cfRule type="cellIs" dxfId="27" priority="2" operator="lessThanOrEqual">
      <formula>0</formula>
    </cfRule>
    <cfRule type="cellIs" dxfId="26" priority="3" operator="between">
      <formula>1</formula>
      <formula>90</formula>
    </cfRule>
    <cfRule type="cellIs" dxfId="25" priority="4" operator="greaterThan">
      <formula>90</formula>
    </cfRule>
  </conditionalFormatting>
  <conditionalFormatting sqref="G4:G12">
    <cfRule type="cellIs" dxfId="24" priority="5" operator="equal">
      <formula>"Overdue"</formula>
    </cfRule>
    <cfRule type="cellIs" dxfId="23" priority="6" operator="equal">
      <formula>"Due Soon"</formula>
    </cfRule>
    <cfRule type="cellIs" dxfId="22" priority="7" operator="equal">
      <formula>"Renewed"</formula>
    </cfRule>
  </conditionalFormatting>
  <conditionalFormatting sqref="I4:I12">
    <cfRule type="cellIs" dxfId="21" priority="8" operator="equal">
      <formula>"Overdue"</formula>
    </cfRule>
    <cfRule type="cellIs" dxfId="20" priority="9" operator="equal">
      <formula>"Due"</formula>
    </cfRule>
    <cfRule type="cellIs" dxfId="19" priority="10" operator="equal">
      <formula>"Up to Date"</formula>
    </cfRule>
    <cfRule type="cellIs" dxfId="18" priority="11" operator="equal">
      <formula>"Applied"</formula>
    </cfRule>
  </conditionalFormatting>
  <conditionalFormatting sqref="J4:K12">
    <cfRule type="cellIs" dxfId="17" priority="12" operator="equal">
      <formula>"Complete"</formula>
    </cfRule>
    <cfRule type="cellIs" dxfId="16" priority="13" operator="equal">
      <formula>"In Progress"</formula>
    </cfRule>
    <cfRule type="cellIs" dxfId="15" priority="14" operator="equal">
      <formula>"Pending"</formula>
    </cfRule>
    <cfRule type="cellIs" dxfId="14" priority="15" operator="equal">
      <formula>"Not Started"</formula>
    </cfRule>
  </conditionalFormatting>
  <conditionalFormatting sqref="T4:T12">
    <cfRule type="cellIs" dxfId="13" priority="20" operator="equal">
      <formula>"High"</formula>
    </cfRule>
    <cfRule type="cellIs" dxfId="12" priority="21" operator="equal">
      <formula>"Medium"</formula>
    </cfRule>
    <cfRule type="cellIs" dxfId="11" priority="22" operator="equal">
      <formula>"Low"</formula>
    </cfRule>
  </conditionalFormatting>
  <conditionalFormatting sqref="U4:U12">
    <cfRule type="cellIs" dxfId="10" priority="23" operator="equal">
      <formula>"At Risk"</formula>
    </cfRule>
    <cfRule type="cellIs" dxfId="9" priority="24" operator="equal">
      <formula>"Delayed"</formula>
    </cfRule>
    <cfRule type="cellIs" dxfId="8" priority="25" operator="equal">
      <formula>"Blocked"</formula>
    </cfRule>
    <cfRule type="cellIs" dxfId="7" priority="26" operator="equal">
      <formula>"On Hold"</formula>
    </cfRule>
    <cfRule type="cellIs" dxfId="6" priority="27" operator="equal">
      <formula>"On Track"</formula>
    </cfRule>
    <cfRule type="cellIs" dxfId="5" priority="28" operator="equal">
      <formula>"Complete"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errorTitle="Invalid entry" error="Pick a value from the list." xr:uid="{00000000-0002-0000-0300-000000000000}">
          <x14:formula1>
            <xm:f>'Lists &amp; Data Validation'!$B$5:$B$10</xm:f>
          </x14:formula1>
          <x14:formula2>
            <xm:f>0</xm:f>
          </x14:formula2>
          <xm:sqref>B4:B12</xm:sqref>
        </x14:dataValidation>
        <x14:dataValidation type="list" allowBlank="1" errorTitle="Invalid entry" error="Pick a value from the list." xr:uid="{00000000-0002-0000-0300-000001000000}">
          <x14:formula1>
            <xm:f>'Lists &amp; Data Validation'!$N$5:$N$11</xm:f>
          </x14:formula1>
          <x14:formula2>
            <xm:f>0</xm:f>
          </x14:formula2>
          <xm:sqref>C4:C12</xm:sqref>
        </x14:dataValidation>
        <x14:dataValidation type="list" allowBlank="1" errorTitle="Invalid entry" error="Pick a value from the list." xr:uid="{00000000-0002-0000-0300-000002000000}">
          <x14:formula1>
            <xm:f>'Lists &amp; Data Validation'!$P$5:$P$9</xm:f>
          </x14:formula1>
          <x14:formula2>
            <xm:f>0</xm:f>
          </x14:formula2>
          <xm:sqref>G4:G12</xm:sqref>
        </x14:dataValidation>
        <x14:dataValidation type="list" allowBlank="1" errorTitle="Invalid entry" error="Pick a value from the list." xr:uid="{00000000-0002-0000-0300-000003000000}">
          <x14:formula1>
            <xm:f>'Lists &amp; Data Validation'!$Q$5:$Q$9</xm:f>
          </x14:formula1>
          <x14:formula2>
            <xm:f>0</xm:f>
          </x14:formula2>
          <xm:sqref>I4:I12</xm:sqref>
        </x14:dataValidation>
        <x14:dataValidation type="list" allowBlank="1" errorTitle="Invalid entry" error="Pick a value from the list." xr:uid="{00000000-0002-0000-0300-000004000000}">
          <x14:formula1>
            <xm:f>'Lists &amp; Data Validation'!$R$5:$R$8</xm:f>
          </x14:formula1>
          <x14:formula2>
            <xm:f>0</xm:f>
          </x14:formula2>
          <xm:sqref>J4:J12</xm:sqref>
        </x14:dataValidation>
        <x14:dataValidation type="list" allowBlank="1" errorTitle="Invalid entry" error="Pick a value from the list." xr:uid="{00000000-0002-0000-0300-000005000000}">
          <x14:formula1>
            <xm:f>'Lists &amp; Data Validation'!$S$5:$S$8</xm:f>
          </x14:formula1>
          <x14:formula2>
            <xm:f>0</xm:f>
          </x14:formula2>
          <xm:sqref>K4:K12</xm:sqref>
        </x14:dataValidation>
        <x14:dataValidation type="list" allowBlank="1" errorTitle="Invalid entry" error="Pick a value from the list." xr:uid="{00000000-0002-0000-0300-000006000000}">
          <x14:formula1>
            <xm:f>'Lists &amp; Data Validation'!$M$5:$M$8</xm:f>
          </x14:formula1>
          <x14:formula2>
            <xm:f>0</xm:f>
          </x14:formula2>
          <xm:sqref>M4:M12</xm:sqref>
        </x14:dataValidation>
        <x14:dataValidation type="list" allowBlank="1" errorTitle="Invalid entry" error="Pick a value from the list." xr:uid="{00000000-0002-0000-0300-000007000000}">
          <x14:formula1>
            <xm:f>'Lists &amp; Data Validation'!$I$5:$I$13</xm:f>
          </x14:formula1>
          <x14:formula2>
            <xm:f>0</xm:f>
          </x14:formula2>
          <xm:sqref>P4:P12</xm:sqref>
        </x14:dataValidation>
        <x14:dataValidation type="list" allowBlank="1" errorTitle="Invalid entry" error="Pick a value from the list." xr:uid="{00000000-0002-0000-0300-000008000000}">
          <x14:formula1>
            <xm:f>'Lists &amp; Data Validation'!$K$5:$K$7</xm:f>
          </x14:formula1>
          <x14:formula2>
            <xm:f>0</xm:f>
          </x14:formula2>
          <xm:sqref>T4:T12</xm:sqref>
        </x14:dataValidation>
        <x14:dataValidation type="list" allowBlank="1" errorTitle="Invalid entry" error="Pick a value from the list." xr:uid="{00000000-0002-0000-0300-000009000000}">
          <x14:formula1>
            <xm:f>'Lists &amp; Data Validation'!$L$5:$L$10</xm:f>
          </x14:formula1>
          <x14:formula2>
            <xm:f>0</xm:f>
          </x14:formula2>
          <xm:sqref>U4:U12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H8"/>
  <sheetViews>
    <sheetView showGridLines="0" zoomScale="110" zoomScaleNormal="110" workbookViewId="0">
      <pane xSplit="3" ySplit="3" topLeftCell="O4" activePane="bottomRight" state="frozen"/>
      <selection activeCell="U43" sqref="U43"/>
      <selection pane="topRight" activeCell="U43" sqref="U43"/>
      <selection pane="bottomLeft" activeCell="U43" sqref="U43"/>
      <selection pane="bottomRight" activeCell="A2" sqref="A2"/>
    </sheetView>
  </sheetViews>
  <sheetFormatPr defaultColWidth="0" defaultRowHeight="14.4" x14ac:dyDescent="0.3"/>
  <cols>
    <col min="1" max="1" width="1.88671875" customWidth="1"/>
    <col min="2" max="2" width="5" customWidth="1"/>
    <col min="3" max="3" width="24" customWidth="1"/>
    <col min="4" max="5" width="16" customWidth="1"/>
    <col min="6" max="6" width="8.6640625" customWidth="1"/>
    <col min="7" max="7" width="24.44140625" bestFit="1" customWidth="1"/>
    <col min="8" max="8" width="10.44140625" customWidth="1"/>
    <col min="9" max="9" width="9" bestFit="1" customWidth="1"/>
    <col min="10" max="18" width="9" customWidth="1"/>
    <col min="19" max="19" width="8" customWidth="1"/>
    <col min="20" max="23" width="12" customWidth="1"/>
    <col min="24" max="24" width="13" customWidth="1"/>
    <col min="25" max="25" width="15" customWidth="1"/>
    <col min="26" max="26" width="11" customWidth="1"/>
    <col min="27" max="28" width="16" customWidth="1"/>
    <col min="29" max="29" width="22" customWidth="1"/>
    <col min="30" max="30" width="14" customWidth="1"/>
    <col min="31" max="32" width="12" customWidth="1"/>
    <col min="33" max="33" width="26" customWidth="1"/>
    <col min="34" max="34" width="8.6640625" customWidth="1"/>
    <col min="35" max="16384" width="8.6640625" hidden="1"/>
  </cols>
  <sheetData>
    <row r="2" spans="2:33" ht="24" customHeight="1" x14ac:dyDescent="0.3">
      <c r="B2" s="65" t="s">
        <v>285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</row>
    <row r="3" spans="2:33" ht="51.75" customHeight="1" x14ac:dyDescent="0.3">
      <c r="B3" s="34" t="s">
        <v>286</v>
      </c>
      <c r="C3" s="34" t="s">
        <v>287</v>
      </c>
      <c r="D3" s="34" t="s">
        <v>288</v>
      </c>
      <c r="E3" s="34" t="s">
        <v>289</v>
      </c>
      <c r="F3" s="34" t="s">
        <v>136</v>
      </c>
      <c r="G3" s="34" t="s">
        <v>270</v>
      </c>
      <c r="H3" s="34" t="s">
        <v>290</v>
      </c>
      <c r="I3" s="34" t="s">
        <v>291</v>
      </c>
      <c r="J3" s="34" t="s">
        <v>292</v>
      </c>
      <c r="K3" s="34" t="s">
        <v>293</v>
      </c>
      <c r="L3" s="34" t="s">
        <v>294</v>
      </c>
      <c r="M3" s="34" t="s">
        <v>295</v>
      </c>
      <c r="N3" s="34" t="s">
        <v>296</v>
      </c>
      <c r="O3" s="34" t="s">
        <v>297</v>
      </c>
      <c r="P3" s="34" t="s">
        <v>298</v>
      </c>
      <c r="Q3" s="34" t="s">
        <v>299</v>
      </c>
      <c r="R3" s="34" t="s">
        <v>300</v>
      </c>
      <c r="S3" s="34" t="s">
        <v>301</v>
      </c>
      <c r="T3" s="34" t="s">
        <v>302</v>
      </c>
      <c r="U3" s="34" t="s">
        <v>303</v>
      </c>
      <c r="V3" s="34" t="s">
        <v>304</v>
      </c>
      <c r="W3" s="34" t="s">
        <v>260</v>
      </c>
      <c r="X3" s="34" t="s">
        <v>305</v>
      </c>
      <c r="Y3" s="34" t="s">
        <v>306</v>
      </c>
      <c r="Z3" s="34" t="s">
        <v>307</v>
      </c>
      <c r="AA3" s="34" t="s">
        <v>266</v>
      </c>
      <c r="AB3" s="34" t="s">
        <v>308</v>
      </c>
      <c r="AC3" s="34" t="s">
        <v>148</v>
      </c>
      <c r="AD3" s="34" t="s">
        <v>42</v>
      </c>
      <c r="AE3" s="34" t="s">
        <v>150</v>
      </c>
      <c r="AF3" s="34" t="s">
        <v>309</v>
      </c>
      <c r="AG3" s="34" t="s">
        <v>310</v>
      </c>
    </row>
    <row r="4" spans="2:33" x14ac:dyDescent="0.3">
      <c r="B4" s="4">
        <v>1</v>
      </c>
      <c r="C4" s="6" t="s">
        <v>234</v>
      </c>
      <c r="D4" s="3" t="s">
        <v>311</v>
      </c>
      <c r="E4" s="3" t="s">
        <v>312</v>
      </c>
      <c r="F4" s="3" t="s">
        <v>78</v>
      </c>
      <c r="G4" s="35" t="str">
        <f t="shared" ref="G4:G8" si="0">IF(OR(S4=0,S4=""),"",IF(AND(S4&gt;=0.01,S4&lt;=0.15),"Early Stage",IF(S4&lt;=0.4,"Mid Stage",IF(S4&lt;=0.6,"Definitive Stage",IF(S4&lt;=0.9,"Development Stage",IF(S4&lt;=1,"Commercial Operations Stage",""))))))</f>
        <v>Commercial Operations Stage</v>
      </c>
      <c r="H4" s="27"/>
      <c r="I4" s="11">
        <v>45901</v>
      </c>
      <c r="J4" s="36">
        <v>0.01</v>
      </c>
      <c r="K4" s="36">
        <v>0.02</v>
      </c>
      <c r="L4" s="36">
        <v>0.15</v>
      </c>
      <c r="M4" s="36">
        <v>0.3</v>
      </c>
      <c r="N4" s="36">
        <v>0.4</v>
      </c>
      <c r="O4" s="36">
        <v>0.6</v>
      </c>
      <c r="P4" s="36">
        <v>0.7</v>
      </c>
      <c r="Q4" s="36">
        <v>0.9</v>
      </c>
      <c r="R4" s="36">
        <v>1</v>
      </c>
      <c r="S4" s="37">
        <f t="shared" ref="S4:S8" si="1">IF(COUNT(J4:R4)=0,"",MAX(J4:R4))</f>
        <v>1</v>
      </c>
      <c r="T4" s="3" t="s">
        <v>4</v>
      </c>
      <c r="U4" s="11"/>
      <c r="V4" s="3"/>
      <c r="W4" s="11"/>
      <c r="X4" s="3"/>
      <c r="Y4" s="3" t="s">
        <v>313</v>
      </c>
      <c r="Z4" s="3" t="s">
        <v>89</v>
      </c>
      <c r="AA4" s="6"/>
      <c r="AB4" s="6"/>
      <c r="AC4" s="6" t="s">
        <v>314</v>
      </c>
      <c r="AD4" s="3" t="s">
        <v>55</v>
      </c>
      <c r="AE4" s="11"/>
      <c r="AF4" s="4" t="s">
        <v>93</v>
      </c>
      <c r="AG4" s="6" t="s">
        <v>162</v>
      </c>
    </row>
    <row r="5" spans="2:33" x14ac:dyDescent="0.3">
      <c r="B5" s="22">
        <v>2</v>
      </c>
      <c r="C5" s="16" t="s">
        <v>238</v>
      </c>
      <c r="D5" s="17" t="s">
        <v>311</v>
      </c>
      <c r="E5" s="17" t="s">
        <v>312</v>
      </c>
      <c r="F5" s="17" t="s">
        <v>78</v>
      </c>
      <c r="G5" s="38" t="str">
        <f t="shared" si="0"/>
        <v>Commercial Operations Stage</v>
      </c>
      <c r="H5" s="26"/>
      <c r="I5" s="21">
        <v>45901</v>
      </c>
      <c r="J5" s="39">
        <v>0.01</v>
      </c>
      <c r="K5" s="39">
        <v>0.02</v>
      </c>
      <c r="L5" s="39">
        <v>0.15</v>
      </c>
      <c r="M5" s="39">
        <v>0.3</v>
      </c>
      <c r="N5" s="39">
        <v>0.4</v>
      </c>
      <c r="O5" s="39">
        <v>0.6</v>
      </c>
      <c r="P5" s="39">
        <v>0.7</v>
      </c>
      <c r="Q5" s="39">
        <v>0.9</v>
      </c>
      <c r="R5" s="39">
        <v>1</v>
      </c>
      <c r="S5" s="40">
        <f t="shared" si="1"/>
        <v>1</v>
      </c>
      <c r="T5" s="17" t="s">
        <v>4</v>
      </c>
      <c r="U5" s="21"/>
      <c r="V5" s="17"/>
      <c r="W5" s="21"/>
      <c r="X5" s="17"/>
      <c r="Y5" s="17"/>
      <c r="Z5" s="17" t="s">
        <v>89</v>
      </c>
      <c r="AA5" s="16"/>
      <c r="AB5" s="16"/>
      <c r="AC5" s="16" t="s">
        <v>314</v>
      </c>
      <c r="AD5" s="17" t="s">
        <v>55</v>
      </c>
      <c r="AE5" s="21"/>
      <c r="AF5" s="22" t="s">
        <v>93</v>
      </c>
      <c r="AG5" s="16" t="s">
        <v>162</v>
      </c>
    </row>
    <row r="6" spans="2:33" x14ac:dyDescent="0.3">
      <c r="B6" s="4">
        <v>3</v>
      </c>
      <c r="C6" s="6" t="s">
        <v>240</v>
      </c>
      <c r="D6" s="3" t="s">
        <v>311</v>
      </c>
      <c r="E6" s="3" t="s">
        <v>315</v>
      </c>
      <c r="F6" s="3" t="s">
        <v>78</v>
      </c>
      <c r="G6" s="35" t="str">
        <f t="shared" si="0"/>
        <v>Commercial Operations Stage</v>
      </c>
      <c r="H6" s="27"/>
      <c r="I6" s="11">
        <v>45901</v>
      </c>
      <c r="J6" s="36">
        <v>0.01</v>
      </c>
      <c r="K6" s="36">
        <v>0.02</v>
      </c>
      <c r="L6" s="36">
        <v>0.15</v>
      </c>
      <c r="M6" s="36">
        <v>0.3</v>
      </c>
      <c r="N6" s="36">
        <v>0.4</v>
      </c>
      <c r="O6" s="36">
        <v>0.6</v>
      </c>
      <c r="P6" s="36">
        <v>0.7</v>
      </c>
      <c r="Q6" s="36">
        <v>0.9</v>
      </c>
      <c r="R6" s="36">
        <v>1</v>
      </c>
      <c r="S6" s="37">
        <f t="shared" si="1"/>
        <v>1</v>
      </c>
      <c r="T6" s="3" t="s">
        <v>4</v>
      </c>
      <c r="U6" s="11"/>
      <c r="V6" s="3"/>
      <c r="W6" s="11"/>
      <c r="X6" s="3"/>
      <c r="Y6" s="3"/>
      <c r="Z6" s="3" t="s">
        <v>89</v>
      </c>
      <c r="AA6" s="6"/>
      <c r="AB6" s="6"/>
      <c r="AC6" s="6" t="s">
        <v>314</v>
      </c>
      <c r="AD6" s="3" t="s">
        <v>55</v>
      </c>
      <c r="AE6" s="11"/>
      <c r="AF6" s="4" t="s">
        <v>93</v>
      </c>
      <c r="AG6" s="6" t="s">
        <v>162</v>
      </c>
    </row>
    <row r="7" spans="2:33" ht="24" x14ac:dyDescent="0.3">
      <c r="B7" s="22">
        <v>4</v>
      </c>
      <c r="C7" s="16" t="s">
        <v>243</v>
      </c>
      <c r="D7" s="17" t="s">
        <v>316</v>
      </c>
      <c r="E7" s="17" t="s">
        <v>316</v>
      </c>
      <c r="F7" s="17" t="s">
        <v>78</v>
      </c>
      <c r="G7" s="38" t="str">
        <f t="shared" si="0"/>
        <v>Definitive Stage</v>
      </c>
      <c r="H7" s="26"/>
      <c r="I7" s="24"/>
      <c r="J7" s="39">
        <v>0.01</v>
      </c>
      <c r="K7" s="39">
        <v>0.02</v>
      </c>
      <c r="L7" s="39">
        <v>0.15</v>
      </c>
      <c r="M7" s="39">
        <v>0.3</v>
      </c>
      <c r="N7" s="39">
        <v>0.4</v>
      </c>
      <c r="O7" s="39">
        <v>0.6</v>
      </c>
      <c r="P7" s="39"/>
      <c r="Q7" s="39"/>
      <c r="R7" s="39"/>
      <c r="S7" s="40">
        <f t="shared" si="1"/>
        <v>0.6</v>
      </c>
      <c r="T7" s="17" t="s">
        <v>116</v>
      </c>
      <c r="U7" s="21"/>
      <c r="V7" s="17"/>
      <c r="W7" s="21"/>
      <c r="X7" s="17"/>
      <c r="Y7" s="17"/>
      <c r="Z7" s="17" t="s">
        <v>126</v>
      </c>
      <c r="AA7" s="16"/>
      <c r="AB7" s="16"/>
      <c r="AC7" s="16" t="s">
        <v>317</v>
      </c>
      <c r="AD7" s="17" t="s">
        <v>53</v>
      </c>
      <c r="AE7" s="21"/>
      <c r="AF7" s="22" t="s">
        <v>93</v>
      </c>
      <c r="AG7" s="16" t="s">
        <v>246</v>
      </c>
    </row>
    <row r="8" spans="2:33" x14ac:dyDescent="0.3">
      <c r="B8" s="28"/>
      <c r="C8" s="28"/>
      <c r="D8" s="28"/>
      <c r="E8" s="28"/>
      <c r="F8" s="28"/>
      <c r="G8" s="35" t="str">
        <f t="shared" si="0"/>
        <v/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37" t="str">
        <f t="shared" si="1"/>
        <v/>
      </c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</row>
  </sheetData>
  <mergeCells count="1">
    <mergeCell ref="B2:AG2"/>
  </mergeCells>
  <conditionalFormatting sqref="T4:T8">
    <cfRule type="cellIs" dxfId="4" priority="2" operator="equal">
      <formula>"Expired"</formula>
    </cfRule>
    <cfRule type="cellIs" dxfId="3" priority="3" operator="equal">
      <formula>"Expiring Soon"</formula>
    </cfRule>
    <cfRule type="cellIs" dxfId="2" priority="4" operator="equal">
      <formula>"Active"</formula>
    </cfRule>
  </conditionalFormatting>
  <conditionalFormatting sqref="AF4:AF8">
    <cfRule type="cellIs" dxfId="1" priority="5" operator="equal">
      <formula>"Yes"</formula>
    </cfRule>
    <cfRule type="cellIs" dxfId="0" priority="6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Title="Invalid entry" error="Pick a value from the list." xr:uid="{00000000-0002-0000-0400-000000000000}">
          <x14:formula1>
            <xm:f>'Lists &amp; Data Validation'!$C$5:$C$7</xm:f>
          </x14:formula1>
          <x14:formula2>
            <xm:f>0</xm:f>
          </x14:formula2>
          <xm:sqref>F4:F8</xm:sqref>
        </x14:dataValidation>
        <x14:dataValidation type="list" allowBlank="1" errorTitle="Invalid entry" error="Pick a value from the list." xr:uid="{00000000-0002-0000-0400-000001000000}">
          <x14:formula1>
            <xm:f>'Lists &amp; Data Validation'!$O$5:$O$11</xm:f>
          </x14:formula1>
          <x14:formula2>
            <xm:f>0</xm:f>
          </x14:formula2>
          <xm:sqref>T4:T8</xm:sqref>
        </x14:dataValidation>
        <x14:dataValidation type="list" allowBlank="1" errorTitle="Invalid entry" error="Pick a value from the list." xr:uid="{00000000-0002-0000-0400-000002000000}">
          <x14:formula1>
            <xm:f>'Lists &amp; Data Validation'!$U$5:$U$9</xm:f>
          </x14:formula1>
          <x14:formula2>
            <xm:f>0</xm:f>
          </x14:formula2>
          <xm:sqref>Z4:Z8</xm:sqref>
        </x14:dataValidation>
        <x14:dataValidation type="list" allowBlank="1" errorTitle="Invalid entry" error="Pick a value from the list." xr:uid="{00000000-0002-0000-0400-000003000000}">
          <x14:formula1>
            <xm:f>'Lists &amp; Data Validation'!$I$5:$I$13</xm:f>
          </x14:formula1>
          <x14:formula2>
            <xm:f>0</xm:f>
          </x14:formula2>
          <xm:sqref>AD4:AD8</xm:sqref>
        </x14:dataValidation>
        <x14:dataValidation type="list" allowBlank="1" errorTitle="Invalid entry" error="Pick a value from the list." xr:uid="{00000000-0002-0000-0400-000004000000}">
          <x14:formula1>
            <xm:f>'Lists &amp; Data Validation'!$J$5:$J$6</xm:f>
          </x14:formula1>
          <x14:formula2>
            <xm:f>0</xm:f>
          </x14:formula2>
          <xm:sqref>AF4:AF8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L21"/>
  <sheetViews>
    <sheetView showGridLines="0" tabSelected="1" zoomScale="110" zoomScaleNormal="110" workbookViewId="0">
      <pane xSplit="3" ySplit="3" topLeftCell="D4" activePane="bottomRight" state="frozen"/>
      <selection activeCell="U43" sqref="U43"/>
      <selection pane="topRight" activeCell="U43" sqref="U43"/>
      <selection pane="bottomLeft" activeCell="U43" sqref="U43"/>
      <selection pane="bottomRight" activeCell="J29" sqref="J29"/>
    </sheetView>
  </sheetViews>
  <sheetFormatPr defaultColWidth="0" defaultRowHeight="14.4" x14ac:dyDescent="0.3"/>
  <cols>
    <col min="1" max="1" width="3.33203125" customWidth="1"/>
    <col min="2" max="2" width="5" customWidth="1"/>
    <col min="3" max="3" width="24" customWidth="1"/>
    <col min="4" max="4" width="14" customWidth="1"/>
    <col min="5" max="5" width="8.6640625" customWidth="1"/>
    <col min="6" max="6" width="14.5546875" customWidth="1"/>
    <col min="7" max="7" width="18" customWidth="1"/>
    <col min="8" max="8" width="15.5546875" customWidth="1"/>
    <col min="9" max="9" width="12.33203125" customWidth="1"/>
    <col min="10" max="10" width="10.88671875" customWidth="1"/>
    <col min="11" max="11" width="12.109375" customWidth="1"/>
    <col min="12" max="12" width="9.6640625" customWidth="1"/>
    <col min="13" max="13" width="11.5546875" customWidth="1"/>
    <col min="14" max="14" width="10.109375" customWidth="1"/>
    <col min="15" max="15" width="12.33203125" customWidth="1"/>
    <col min="16" max="16" width="9.5546875" customWidth="1"/>
    <col min="17" max="17" width="9.6640625" customWidth="1"/>
    <col min="18" max="18" width="9.44140625" customWidth="1"/>
    <col min="19" max="19" width="9.88671875" customWidth="1"/>
    <col min="20" max="20" width="10" customWidth="1"/>
    <col min="21" max="21" width="10.44140625" customWidth="1"/>
    <col min="22" max="22" width="12" customWidth="1"/>
    <col min="23" max="23" width="13.88671875" customWidth="1"/>
    <col min="24" max="25" width="12" customWidth="1"/>
    <col min="26" max="26" width="13" customWidth="1"/>
    <col min="27" max="27" width="16" customWidth="1"/>
    <col min="28" max="28" width="14" customWidth="1"/>
    <col min="29" max="29" width="12" customWidth="1"/>
    <col min="30" max="30" width="13" customWidth="1"/>
    <col min="31" max="32" width="18" customWidth="1"/>
    <col min="33" max="33" width="24" customWidth="1"/>
    <col min="34" max="34" width="14" customWidth="1"/>
    <col min="35" max="36" width="12" customWidth="1"/>
    <col min="37" max="37" width="26" customWidth="1"/>
    <col min="38" max="38" width="8.6640625" customWidth="1"/>
    <col min="39" max="16384" width="8.6640625" hidden="1"/>
  </cols>
  <sheetData>
    <row r="2" spans="2:37" ht="24" customHeight="1" x14ac:dyDescent="0.3">
      <c r="B2" s="48" t="s">
        <v>318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spans="2:37" ht="51.75" customHeight="1" x14ac:dyDescent="0.3">
      <c r="B3" s="41" t="s">
        <v>286</v>
      </c>
      <c r="C3" s="41" t="s">
        <v>287</v>
      </c>
      <c r="D3" s="41" t="s">
        <v>288</v>
      </c>
      <c r="E3" s="41" t="s">
        <v>319</v>
      </c>
      <c r="F3" s="41" t="s">
        <v>136</v>
      </c>
      <c r="G3" s="41" t="s">
        <v>270</v>
      </c>
      <c r="H3" s="41" t="s">
        <v>320</v>
      </c>
      <c r="I3" s="41" t="s">
        <v>291</v>
      </c>
      <c r="J3" s="41" t="s">
        <v>292</v>
      </c>
      <c r="K3" s="41" t="s">
        <v>293</v>
      </c>
      <c r="L3" s="41" t="s">
        <v>321</v>
      </c>
      <c r="M3" s="41" t="s">
        <v>322</v>
      </c>
      <c r="N3" s="41" t="s">
        <v>294</v>
      </c>
      <c r="O3" s="41" t="s">
        <v>323</v>
      </c>
      <c r="P3" s="41" t="s">
        <v>296</v>
      </c>
      <c r="Q3" s="41" t="s">
        <v>324</v>
      </c>
      <c r="R3" s="41" t="s">
        <v>298</v>
      </c>
      <c r="S3" s="41" t="s">
        <v>299</v>
      </c>
      <c r="T3" s="41" t="s">
        <v>300</v>
      </c>
      <c r="U3" s="41" t="s">
        <v>301</v>
      </c>
      <c r="V3" s="41" t="s">
        <v>325</v>
      </c>
      <c r="W3" s="41" t="s">
        <v>302</v>
      </c>
      <c r="X3" s="41" t="s">
        <v>303</v>
      </c>
      <c r="Y3" s="41" t="s">
        <v>304</v>
      </c>
      <c r="Z3" s="41" t="s">
        <v>260</v>
      </c>
      <c r="AA3" s="41" t="s">
        <v>326</v>
      </c>
      <c r="AB3" s="41" t="s">
        <v>327</v>
      </c>
      <c r="AC3" s="41" t="s">
        <v>262</v>
      </c>
      <c r="AD3" s="41" t="s">
        <v>263</v>
      </c>
      <c r="AE3" s="41" t="s">
        <v>266</v>
      </c>
      <c r="AF3" s="41" t="s">
        <v>308</v>
      </c>
      <c r="AG3" s="41" t="s">
        <v>148</v>
      </c>
      <c r="AH3" s="41" t="s">
        <v>42</v>
      </c>
      <c r="AI3" s="41" t="s">
        <v>150</v>
      </c>
      <c r="AJ3" s="41" t="s">
        <v>309</v>
      </c>
      <c r="AK3" s="41" t="s">
        <v>310</v>
      </c>
    </row>
    <row r="4" spans="2:37" ht="24" x14ac:dyDescent="0.3">
      <c r="B4" s="4">
        <v>1</v>
      </c>
      <c r="C4" s="6" t="s">
        <v>161</v>
      </c>
      <c r="D4" s="3" t="s">
        <v>328</v>
      </c>
      <c r="E4" s="4" t="s">
        <v>329</v>
      </c>
      <c r="F4" s="3" t="s">
        <v>78</v>
      </c>
      <c r="G4" s="35" t="str">
        <f t="shared" ref="G4:G21" si="0">IF(OR(U4=0,U4=""),"",IF(AND(U4&gt;=0.01,U4&lt;=0.15),"Early Stage",IF(U4&lt;=0.4,"Mid Stage",IF(U4&lt;=0.6,"Definitive Stage",IF(U4&lt;=0.9,"Development Stage",IF(U4&lt;=1,"Commercial Operations Stage",""))))))</f>
        <v>Commercial Operations Stage</v>
      </c>
      <c r="H4" s="9">
        <v>750</v>
      </c>
      <c r="I4" s="11">
        <v>45901</v>
      </c>
      <c r="J4" s="36">
        <v>0.01</v>
      </c>
      <c r="K4" s="36">
        <v>0.02</v>
      </c>
      <c r="L4" s="36">
        <v>0.03</v>
      </c>
      <c r="M4" s="36">
        <v>0.05</v>
      </c>
      <c r="N4" s="36">
        <v>0.15</v>
      </c>
      <c r="O4" s="36">
        <v>0.3</v>
      </c>
      <c r="P4" s="36">
        <v>0.4</v>
      </c>
      <c r="Q4" s="36">
        <v>0.6</v>
      </c>
      <c r="R4" s="36">
        <v>0.7</v>
      </c>
      <c r="S4" s="36">
        <v>0.9</v>
      </c>
      <c r="T4" s="36">
        <v>1</v>
      </c>
      <c r="U4" s="37">
        <f>IF(COUNT(J4:T4)=0,"",MAX(J4:T4))</f>
        <v>1</v>
      </c>
      <c r="V4" s="9">
        <v>750</v>
      </c>
      <c r="W4" s="4" t="s">
        <v>4</v>
      </c>
      <c r="X4" s="11"/>
      <c r="Y4" s="3"/>
      <c r="Z4" s="11"/>
      <c r="AA4" s="3"/>
      <c r="AB4" s="4" t="s">
        <v>88</v>
      </c>
      <c r="AC4" s="4" t="s">
        <v>87</v>
      </c>
      <c r="AD4" s="4" t="s">
        <v>87</v>
      </c>
      <c r="AE4" s="6"/>
      <c r="AF4" s="6"/>
      <c r="AG4" s="6" t="s">
        <v>280</v>
      </c>
      <c r="AH4" s="3" t="s">
        <v>55</v>
      </c>
      <c r="AI4" s="11"/>
      <c r="AJ4" s="4" t="s">
        <v>93</v>
      </c>
      <c r="AK4" s="6" t="s">
        <v>162</v>
      </c>
    </row>
    <row r="5" spans="2:37" ht="24" x14ac:dyDescent="0.3">
      <c r="B5" s="22">
        <v>2</v>
      </c>
      <c r="C5" s="16" t="s">
        <v>164</v>
      </c>
      <c r="D5" s="17" t="s">
        <v>328</v>
      </c>
      <c r="E5" s="22" t="s">
        <v>329</v>
      </c>
      <c r="F5" s="17" t="s">
        <v>78</v>
      </c>
      <c r="G5" s="38" t="str">
        <f t="shared" si="0"/>
        <v>Development Stage</v>
      </c>
      <c r="H5" s="19">
        <v>2700</v>
      </c>
      <c r="I5" s="24"/>
      <c r="J5" s="39">
        <v>0.01</v>
      </c>
      <c r="K5" s="39">
        <v>0.02</v>
      </c>
      <c r="L5" s="39">
        <v>0.03</v>
      </c>
      <c r="M5" s="39">
        <v>0.05</v>
      </c>
      <c r="N5" s="39">
        <v>0.15</v>
      </c>
      <c r="O5" s="39">
        <v>0.3</v>
      </c>
      <c r="P5" s="39">
        <v>0.4</v>
      </c>
      <c r="Q5" s="39">
        <v>0.6</v>
      </c>
      <c r="R5" s="39">
        <v>0.7</v>
      </c>
      <c r="S5" s="39">
        <v>0.9</v>
      </c>
      <c r="T5" s="39"/>
      <c r="U5" s="40">
        <f t="shared" ref="U5:U21" si="1">IF(COUNT(J5:T5)=0,"",MAX(J5:T5))</f>
        <v>0.9</v>
      </c>
      <c r="V5" s="19"/>
      <c r="W5" s="22" t="s">
        <v>116</v>
      </c>
      <c r="X5" s="21"/>
      <c r="Y5" s="17"/>
      <c r="Z5" s="21"/>
      <c r="AA5" s="17"/>
      <c r="AB5" s="22" t="s">
        <v>100</v>
      </c>
      <c r="AC5" s="22" t="s">
        <v>87</v>
      </c>
      <c r="AD5" s="22" t="s">
        <v>99</v>
      </c>
      <c r="AE5" s="16"/>
      <c r="AF5" s="16"/>
      <c r="AG5" s="16" t="s">
        <v>330</v>
      </c>
      <c r="AH5" s="17" t="s">
        <v>53</v>
      </c>
      <c r="AI5" s="21"/>
      <c r="AJ5" s="22" t="s">
        <v>93</v>
      </c>
      <c r="AK5" s="16" t="s">
        <v>331</v>
      </c>
    </row>
    <row r="6" spans="2:37" ht="24" x14ac:dyDescent="0.3">
      <c r="B6" s="4">
        <v>3</v>
      </c>
      <c r="C6" s="6" t="s">
        <v>170</v>
      </c>
      <c r="D6" s="3" t="s">
        <v>328</v>
      </c>
      <c r="E6" s="4" t="s">
        <v>329</v>
      </c>
      <c r="F6" s="3" t="s">
        <v>78</v>
      </c>
      <c r="G6" s="35" t="str">
        <f t="shared" si="0"/>
        <v>Early Stage</v>
      </c>
      <c r="H6" s="9">
        <v>750</v>
      </c>
      <c r="I6" s="13"/>
      <c r="J6" s="36">
        <v>0.01</v>
      </c>
      <c r="K6" s="36">
        <v>0.02</v>
      </c>
      <c r="L6" s="36">
        <v>0.03</v>
      </c>
      <c r="M6" s="36">
        <v>0.05</v>
      </c>
      <c r="N6" s="36">
        <v>0.15</v>
      </c>
      <c r="O6" s="36"/>
      <c r="P6" s="36"/>
      <c r="Q6" s="36"/>
      <c r="R6" s="36"/>
      <c r="S6" s="36"/>
      <c r="T6" s="36"/>
      <c r="U6" s="37">
        <f t="shared" si="1"/>
        <v>0.15</v>
      </c>
      <c r="V6" s="9"/>
      <c r="W6" s="4" t="s">
        <v>118</v>
      </c>
      <c r="X6" s="11"/>
      <c r="Y6" s="3"/>
      <c r="Z6" s="11"/>
      <c r="AA6" s="3"/>
      <c r="AB6" s="4" t="s">
        <v>104</v>
      </c>
      <c r="AC6" s="4" t="s">
        <v>99</v>
      </c>
      <c r="AD6" s="4" t="s">
        <v>118</v>
      </c>
      <c r="AE6" s="6"/>
      <c r="AF6" s="6"/>
      <c r="AG6" s="6" t="s">
        <v>330</v>
      </c>
      <c r="AH6" s="3" t="s">
        <v>53</v>
      </c>
      <c r="AI6" s="11"/>
      <c r="AJ6" s="4" t="s">
        <v>93</v>
      </c>
      <c r="AK6" s="6" t="s">
        <v>332</v>
      </c>
    </row>
    <row r="7" spans="2:37" ht="24" x14ac:dyDescent="0.3">
      <c r="B7" s="22">
        <v>4</v>
      </c>
      <c r="C7" s="16" t="s">
        <v>175</v>
      </c>
      <c r="D7" s="17" t="s">
        <v>328</v>
      </c>
      <c r="E7" s="22" t="s">
        <v>329</v>
      </c>
      <c r="F7" s="17" t="s">
        <v>78</v>
      </c>
      <c r="G7" s="38" t="str">
        <f t="shared" si="0"/>
        <v>Early Stage</v>
      </c>
      <c r="H7" s="19">
        <v>1000</v>
      </c>
      <c r="I7" s="24"/>
      <c r="J7" s="39">
        <v>0.01</v>
      </c>
      <c r="K7" s="39">
        <v>0.02</v>
      </c>
      <c r="L7" s="39">
        <v>0.03</v>
      </c>
      <c r="M7" s="39">
        <v>0.05</v>
      </c>
      <c r="N7" s="39">
        <v>0.15</v>
      </c>
      <c r="O7" s="39"/>
      <c r="P7" s="39"/>
      <c r="Q7" s="39"/>
      <c r="R7" s="39"/>
      <c r="S7" s="39"/>
      <c r="T7" s="39"/>
      <c r="U7" s="40">
        <f t="shared" si="1"/>
        <v>0.15</v>
      </c>
      <c r="V7" s="19"/>
      <c r="W7" s="22" t="s">
        <v>118</v>
      </c>
      <c r="X7" s="21"/>
      <c r="Y7" s="17"/>
      <c r="Z7" s="21"/>
      <c r="AA7" s="17"/>
      <c r="AB7" s="22" t="s">
        <v>104</v>
      </c>
      <c r="AC7" s="22" t="s">
        <v>99</v>
      </c>
      <c r="AD7" s="22" t="s">
        <v>118</v>
      </c>
      <c r="AE7" s="16"/>
      <c r="AF7" s="16"/>
      <c r="AG7" s="16" t="s">
        <v>330</v>
      </c>
      <c r="AH7" s="17" t="s">
        <v>53</v>
      </c>
      <c r="AI7" s="21"/>
      <c r="AJ7" s="22" t="s">
        <v>93</v>
      </c>
      <c r="AK7" s="16" t="s">
        <v>333</v>
      </c>
    </row>
    <row r="8" spans="2:37" ht="24" x14ac:dyDescent="0.3">
      <c r="B8" s="4">
        <v>5</v>
      </c>
      <c r="C8" s="6" t="s">
        <v>180</v>
      </c>
      <c r="D8" s="3" t="s">
        <v>334</v>
      </c>
      <c r="E8" s="4" t="s">
        <v>329</v>
      </c>
      <c r="F8" s="3" t="s">
        <v>78</v>
      </c>
      <c r="G8" s="35" t="str">
        <f t="shared" si="0"/>
        <v>Commercial Operations Stage</v>
      </c>
      <c r="H8" s="9">
        <v>250</v>
      </c>
      <c r="I8" s="13"/>
      <c r="J8" s="36">
        <v>0.01</v>
      </c>
      <c r="K8" s="36">
        <v>0.02</v>
      </c>
      <c r="L8" s="36">
        <v>0.03</v>
      </c>
      <c r="M8" s="36">
        <v>0.05</v>
      </c>
      <c r="N8" s="36">
        <v>0.15</v>
      </c>
      <c r="O8" s="36">
        <v>0.3</v>
      </c>
      <c r="P8" s="36">
        <v>0.4</v>
      </c>
      <c r="Q8" s="36">
        <v>0.6</v>
      </c>
      <c r="R8" s="36">
        <v>0.7</v>
      </c>
      <c r="S8" s="36">
        <v>0.9</v>
      </c>
      <c r="T8" s="36">
        <v>1</v>
      </c>
      <c r="U8" s="37">
        <f t="shared" si="1"/>
        <v>1</v>
      </c>
      <c r="V8" s="9">
        <v>250</v>
      </c>
      <c r="W8" s="4" t="s">
        <v>4</v>
      </c>
      <c r="X8" s="11"/>
      <c r="Y8" s="3"/>
      <c r="Z8" s="11"/>
      <c r="AA8" s="3"/>
      <c r="AB8" s="4" t="s">
        <v>88</v>
      </c>
      <c r="AC8" s="4" t="s">
        <v>87</v>
      </c>
      <c r="AD8" s="4" t="s">
        <v>87</v>
      </c>
      <c r="AE8" s="6"/>
      <c r="AF8" s="6"/>
      <c r="AG8" s="6" t="s">
        <v>280</v>
      </c>
      <c r="AH8" s="3" t="s">
        <v>55</v>
      </c>
      <c r="AI8" s="11"/>
      <c r="AJ8" s="4" t="s">
        <v>93</v>
      </c>
      <c r="AK8" s="6" t="s">
        <v>162</v>
      </c>
    </row>
    <row r="9" spans="2:37" ht="24" x14ac:dyDescent="0.3">
      <c r="B9" s="22">
        <v>6</v>
      </c>
      <c r="C9" s="16" t="s">
        <v>182</v>
      </c>
      <c r="D9" s="17" t="s">
        <v>334</v>
      </c>
      <c r="E9" s="22" t="s">
        <v>329</v>
      </c>
      <c r="F9" s="17" t="s">
        <v>78</v>
      </c>
      <c r="G9" s="38" t="str">
        <f t="shared" si="0"/>
        <v>Commercial Operations Stage</v>
      </c>
      <c r="H9" s="19">
        <v>100</v>
      </c>
      <c r="I9" s="24"/>
      <c r="J9" s="39">
        <v>0.01</v>
      </c>
      <c r="K9" s="39">
        <v>0.02</v>
      </c>
      <c r="L9" s="39">
        <v>0.03</v>
      </c>
      <c r="M9" s="39">
        <v>0.05</v>
      </c>
      <c r="N9" s="39">
        <v>0.15</v>
      </c>
      <c r="O9" s="39">
        <v>0.3</v>
      </c>
      <c r="P9" s="39">
        <v>0.4</v>
      </c>
      <c r="Q9" s="39">
        <v>0.6</v>
      </c>
      <c r="R9" s="39">
        <v>0.7</v>
      </c>
      <c r="S9" s="39">
        <v>0.9</v>
      </c>
      <c r="T9" s="39">
        <v>1</v>
      </c>
      <c r="U9" s="40">
        <f t="shared" si="1"/>
        <v>1</v>
      </c>
      <c r="V9" s="19">
        <v>100</v>
      </c>
      <c r="W9" s="22" t="s">
        <v>4</v>
      </c>
      <c r="X9" s="21"/>
      <c r="Y9" s="17"/>
      <c r="Z9" s="21"/>
      <c r="AA9" s="17"/>
      <c r="AB9" s="22" t="s">
        <v>88</v>
      </c>
      <c r="AC9" s="22" t="s">
        <v>87</v>
      </c>
      <c r="AD9" s="22" t="s">
        <v>87</v>
      </c>
      <c r="AE9" s="16"/>
      <c r="AF9" s="16"/>
      <c r="AG9" s="16" t="s">
        <v>280</v>
      </c>
      <c r="AH9" s="17" t="s">
        <v>55</v>
      </c>
      <c r="AI9" s="21"/>
      <c r="AJ9" s="22" t="s">
        <v>93</v>
      </c>
      <c r="AK9" s="16" t="s">
        <v>162</v>
      </c>
    </row>
    <row r="10" spans="2:37" x14ac:dyDescent="0.3">
      <c r="B10" s="4">
        <v>7</v>
      </c>
      <c r="C10" s="6" t="s">
        <v>184</v>
      </c>
      <c r="D10" s="3" t="s">
        <v>334</v>
      </c>
      <c r="E10" s="4" t="s">
        <v>329</v>
      </c>
      <c r="F10" s="3" t="s">
        <v>78</v>
      </c>
      <c r="G10" s="35" t="str">
        <f t="shared" si="0"/>
        <v>Mid Stage</v>
      </c>
      <c r="H10" s="9">
        <v>500</v>
      </c>
      <c r="I10" s="13"/>
      <c r="J10" s="36">
        <v>0.01</v>
      </c>
      <c r="K10" s="36">
        <v>0.02</v>
      </c>
      <c r="L10" s="36">
        <v>0.03</v>
      </c>
      <c r="M10" s="36">
        <v>0.05</v>
      </c>
      <c r="N10" s="36">
        <v>0.15</v>
      </c>
      <c r="O10" s="36">
        <v>0.3</v>
      </c>
      <c r="P10" s="36"/>
      <c r="Q10" s="36"/>
      <c r="R10" s="36"/>
      <c r="S10" s="36"/>
      <c r="T10" s="36"/>
      <c r="U10" s="37">
        <f t="shared" si="1"/>
        <v>0.3</v>
      </c>
      <c r="V10" s="9"/>
      <c r="W10" s="4" t="s">
        <v>116</v>
      </c>
      <c r="X10" s="11"/>
      <c r="Y10" s="3"/>
      <c r="Z10" s="11"/>
      <c r="AA10" s="3"/>
      <c r="AB10" s="4" t="s">
        <v>104</v>
      </c>
      <c r="AC10" s="4" t="s">
        <v>99</v>
      </c>
      <c r="AD10" s="4" t="s">
        <v>118</v>
      </c>
      <c r="AE10" s="6"/>
      <c r="AF10" s="6"/>
      <c r="AG10" s="6" t="s">
        <v>330</v>
      </c>
      <c r="AH10" s="3" t="s">
        <v>53</v>
      </c>
      <c r="AI10" s="11"/>
      <c r="AJ10" s="4" t="s">
        <v>93</v>
      </c>
      <c r="AK10" s="6" t="s">
        <v>335</v>
      </c>
    </row>
    <row r="11" spans="2:37" ht="24" x14ac:dyDescent="0.3">
      <c r="B11" s="22">
        <v>8</v>
      </c>
      <c r="C11" s="16" t="s">
        <v>188</v>
      </c>
      <c r="D11" s="17" t="s">
        <v>336</v>
      </c>
      <c r="E11" s="22" t="s">
        <v>329</v>
      </c>
      <c r="F11" s="17" t="s">
        <v>78</v>
      </c>
      <c r="G11" s="38" t="str">
        <f t="shared" si="0"/>
        <v>Commercial Operations Stage</v>
      </c>
      <c r="H11" s="19">
        <v>1500</v>
      </c>
      <c r="I11" s="21">
        <v>45901</v>
      </c>
      <c r="J11" s="39">
        <v>0.01</v>
      </c>
      <c r="K11" s="39">
        <v>0.02</v>
      </c>
      <c r="L11" s="39">
        <v>0.03</v>
      </c>
      <c r="M11" s="39">
        <v>0.05</v>
      </c>
      <c r="N11" s="39">
        <v>0.15</v>
      </c>
      <c r="O11" s="39">
        <v>0.3</v>
      </c>
      <c r="P11" s="39">
        <v>0.4</v>
      </c>
      <c r="Q11" s="39">
        <v>0.6</v>
      </c>
      <c r="R11" s="39">
        <v>0.7</v>
      </c>
      <c r="S11" s="39">
        <v>0.9</v>
      </c>
      <c r="T11" s="39">
        <v>1</v>
      </c>
      <c r="U11" s="40">
        <f t="shared" si="1"/>
        <v>1</v>
      </c>
      <c r="V11" s="19">
        <v>1500</v>
      </c>
      <c r="W11" s="22" t="s">
        <v>108</v>
      </c>
      <c r="X11" s="21"/>
      <c r="Y11" s="17"/>
      <c r="Z11" s="21"/>
      <c r="AA11" s="17"/>
      <c r="AB11" s="22" t="s">
        <v>88</v>
      </c>
      <c r="AC11" s="22" t="s">
        <v>87</v>
      </c>
      <c r="AD11" s="22" t="s">
        <v>87</v>
      </c>
      <c r="AE11" s="16"/>
      <c r="AF11" s="16"/>
      <c r="AG11" s="16" t="s">
        <v>280</v>
      </c>
      <c r="AH11" s="17" t="s">
        <v>55</v>
      </c>
      <c r="AI11" s="21"/>
      <c r="AJ11" s="22" t="s">
        <v>82</v>
      </c>
      <c r="AK11" s="16" t="s">
        <v>337</v>
      </c>
    </row>
    <row r="12" spans="2:37" x14ac:dyDescent="0.3">
      <c r="B12" s="4">
        <v>9</v>
      </c>
      <c r="C12" s="6" t="s">
        <v>194</v>
      </c>
      <c r="D12" s="3" t="s">
        <v>328</v>
      </c>
      <c r="E12" s="4" t="s">
        <v>329</v>
      </c>
      <c r="F12" s="3" t="s">
        <v>78</v>
      </c>
      <c r="G12" s="35" t="str">
        <f t="shared" si="0"/>
        <v>Mid Stage</v>
      </c>
      <c r="H12" s="9">
        <v>2000</v>
      </c>
      <c r="I12" s="13"/>
      <c r="J12" s="36">
        <v>0.01</v>
      </c>
      <c r="K12" s="36">
        <v>0.02</v>
      </c>
      <c r="L12" s="36">
        <v>0.03</v>
      </c>
      <c r="M12" s="36">
        <v>0.05</v>
      </c>
      <c r="N12" s="36">
        <v>0.15</v>
      </c>
      <c r="O12" s="36">
        <v>0.3</v>
      </c>
      <c r="P12" s="36">
        <v>0.4</v>
      </c>
      <c r="Q12" s="36"/>
      <c r="R12" s="36"/>
      <c r="S12" s="36"/>
      <c r="T12" s="36"/>
      <c r="U12" s="37">
        <f t="shared" si="1"/>
        <v>0.4</v>
      </c>
      <c r="V12" s="9"/>
      <c r="W12" s="4" t="s">
        <v>116</v>
      </c>
      <c r="X12" s="11"/>
      <c r="Y12" s="3"/>
      <c r="Z12" s="11"/>
      <c r="AA12" s="3"/>
      <c r="AB12" s="4" t="s">
        <v>104</v>
      </c>
      <c r="AC12" s="4" t="s">
        <v>99</v>
      </c>
      <c r="AD12" s="4" t="s">
        <v>118</v>
      </c>
      <c r="AE12" s="6"/>
      <c r="AF12" s="6"/>
      <c r="AG12" s="6" t="s">
        <v>338</v>
      </c>
      <c r="AH12" s="3" t="s">
        <v>53</v>
      </c>
      <c r="AI12" s="11"/>
      <c r="AJ12" s="4" t="s">
        <v>93</v>
      </c>
      <c r="AK12" s="6" t="s">
        <v>197</v>
      </c>
    </row>
    <row r="13" spans="2:37" ht="24" x14ac:dyDescent="0.3">
      <c r="B13" s="22">
        <v>10</v>
      </c>
      <c r="C13" s="16" t="s">
        <v>199</v>
      </c>
      <c r="D13" s="17" t="s">
        <v>328</v>
      </c>
      <c r="E13" s="22" t="s">
        <v>329</v>
      </c>
      <c r="F13" s="17" t="s">
        <v>78</v>
      </c>
      <c r="G13" s="38" t="str">
        <f t="shared" si="0"/>
        <v>Early Stage</v>
      </c>
      <c r="H13" s="19">
        <v>3000</v>
      </c>
      <c r="I13" s="24"/>
      <c r="J13" s="39">
        <v>0.01</v>
      </c>
      <c r="K13" s="39">
        <v>0.02</v>
      </c>
      <c r="L13" s="39">
        <v>0.03</v>
      </c>
      <c r="M13" s="39">
        <v>0.05</v>
      </c>
      <c r="N13" s="39">
        <v>0.15</v>
      </c>
      <c r="O13" s="39"/>
      <c r="P13" s="39"/>
      <c r="Q13" s="39"/>
      <c r="R13" s="39"/>
      <c r="S13" s="39"/>
      <c r="T13" s="39"/>
      <c r="U13" s="40">
        <f t="shared" si="1"/>
        <v>0.15</v>
      </c>
      <c r="V13" s="19"/>
      <c r="W13" s="22" t="s">
        <v>118</v>
      </c>
      <c r="X13" s="21"/>
      <c r="Y13" s="17"/>
      <c r="Z13" s="21"/>
      <c r="AA13" s="17"/>
      <c r="AB13" s="22" t="s">
        <v>104</v>
      </c>
      <c r="AC13" s="22" t="s">
        <v>99</v>
      </c>
      <c r="AD13" s="22" t="s">
        <v>118</v>
      </c>
      <c r="AE13" s="16"/>
      <c r="AF13" s="16"/>
      <c r="AG13" s="16" t="s">
        <v>330</v>
      </c>
      <c r="AH13" s="17" t="s">
        <v>53</v>
      </c>
      <c r="AI13" s="21"/>
      <c r="AJ13" s="22" t="s">
        <v>93</v>
      </c>
      <c r="AK13" s="16" t="s">
        <v>339</v>
      </c>
    </row>
    <row r="14" spans="2:37" ht="24" x14ac:dyDescent="0.3">
      <c r="B14" s="4">
        <v>11</v>
      </c>
      <c r="C14" s="6" t="s">
        <v>203</v>
      </c>
      <c r="D14" s="3" t="s">
        <v>336</v>
      </c>
      <c r="E14" s="4" t="s">
        <v>329</v>
      </c>
      <c r="F14" s="3" t="s">
        <v>90</v>
      </c>
      <c r="G14" s="35" t="str">
        <f t="shared" si="0"/>
        <v>Early Stage</v>
      </c>
      <c r="H14" s="9">
        <v>1000</v>
      </c>
      <c r="I14" s="13"/>
      <c r="J14" s="36">
        <v>0.01</v>
      </c>
      <c r="K14" s="36">
        <v>0.02</v>
      </c>
      <c r="L14" s="36">
        <v>0.03</v>
      </c>
      <c r="M14" s="36">
        <v>0.05</v>
      </c>
      <c r="N14" s="36">
        <v>0.15</v>
      </c>
      <c r="O14" s="36"/>
      <c r="P14" s="36"/>
      <c r="Q14" s="36"/>
      <c r="R14" s="36"/>
      <c r="S14" s="36"/>
      <c r="T14" s="36"/>
      <c r="U14" s="37">
        <f t="shared" si="1"/>
        <v>0.15</v>
      </c>
      <c r="V14" s="9"/>
      <c r="W14" s="4" t="s">
        <v>118</v>
      </c>
      <c r="X14" s="11"/>
      <c r="Y14" s="3"/>
      <c r="Z14" s="11"/>
      <c r="AA14" s="3"/>
      <c r="AB14" s="4" t="s">
        <v>104</v>
      </c>
      <c r="AC14" s="4" t="s">
        <v>99</v>
      </c>
      <c r="AD14" s="4" t="s">
        <v>118</v>
      </c>
      <c r="AE14" s="6"/>
      <c r="AF14" s="6"/>
      <c r="AG14" s="6" t="s">
        <v>330</v>
      </c>
      <c r="AH14" s="3" t="s">
        <v>53</v>
      </c>
      <c r="AI14" s="11"/>
      <c r="AJ14" s="4" t="s">
        <v>93</v>
      </c>
      <c r="AK14" s="6" t="s">
        <v>340</v>
      </c>
    </row>
    <row r="15" spans="2:37" x14ac:dyDescent="0.3">
      <c r="B15" s="22">
        <v>12</v>
      </c>
      <c r="C15" s="16" t="s">
        <v>208</v>
      </c>
      <c r="D15" s="17" t="s">
        <v>328</v>
      </c>
      <c r="E15" s="22" t="s">
        <v>329</v>
      </c>
      <c r="F15" s="17" t="s">
        <v>78</v>
      </c>
      <c r="G15" s="38" t="str">
        <f t="shared" si="0"/>
        <v>Early Stage</v>
      </c>
      <c r="H15" s="19">
        <v>100000</v>
      </c>
      <c r="I15" s="24"/>
      <c r="J15" s="39">
        <v>0.01</v>
      </c>
      <c r="K15" s="39">
        <v>0.02</v>
      </c>
      <c r="L15" s="39">
        <v>0.03</v>
      </c>
      <c r="M15" s="39">
        <v>0.05</v>
      </c>
      <c r="N15" s="39">
        <v>0.15</v>
      </c>
      <c r="O15" s="39"/>
      <c r="P15" s="39"/>
      <c r="Q15" s="39"/>
      <c r="R15" s="39"/>
      <c r="S15" s="39"/>
      <c r="T15" s="39"/>
      <c r="U15" s="40">
        <f t="shared" si="1"/>
        <v>0.15</v>
      </c>
      <c r="V15" s="19"/>
      <c r="W15" s="22" t="s">
        <v>118</v>
      </c>
      <c r="X15" s="21"/>
      <c r="Y15" s="17"/>
      <c r="Z15" s="21"/>
      <c r="AA15" s="17"/>
      <c r="AB15" s="22" t="s">
        <v>104</v>
      </c>
      <c r="AC15" s="22" t="s">
        <v>99</v>
      </c>
      <c r="AD15" s="22" t="s">
        <v>118</v>
      </c>
      <c r="AE15" s="16"/>
      <c r="AF15" s="16"/>
      <c r="AG15" s="16" t="s">
        <v>330</v>
      </c>
      <c r="AH15" s="17" t="s">
        <v>53</v>
      </c>
      <c r="AI15" s="21"/>
      <c r="AJ15" s="22" t="s">
        <v>93</v>
      </c>
      <c r="AK15" s="16" t="s">
        <v>335</v>
      </c>
    </row>
    <row r="16" spans="2:37" x14ac:dyDescent="0.3">
      <c r="B16" s="4">
        <v>13</v>
      </c>
      <c r="C16" s="6" t="s">
        <v>213</v>
      </c>
      <c r="D16" s="3" t="s">
        <v>336</v>
      </c>
      <c r="E16" s="4" t="s">
        <v>329</v>
      </c>
      <c r="F16" s="3" t="s">
        <v>78</v>
      </c>
      <c r="G16" s="35" t="str">
        <f t="shared" si="0"/>
        <v>Early Stage</v>
      </c>
      <c r="H16" s="9">
        <v>6000</v>
      </c>
      <c r="I16" s="13"/>
      <c r="J16" s="36">
        <v>0.01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>
        <f t="shared" si="1"/>
        <v>0.01</v>
      </c>
      <c r="V16" s="9"/>
      <c r="W16" s="4" t="s">
        <v>118</v>
      </c>
      <c r="X16" s="11"/>
      <c r="Y16" s="3"/>
      <c r="Z16" s="11"/>
      <c r="AA16" s="3"/>
      <c r="AB16" s="4" t="s">
        <v>104</v>
      </c>
      <c r="AC16" s="4" t="s">
        <v>118</v>
      </c>
      <c r="AD16" s="4" t="s">
        <v>118</v>
      </c>
      <c r="AE16" s="6"/>
      <c r="AF16" s="6"/>
      <c r="AG16" s="6" t="s">
        <v>330</v>
      </c>
      <c r="AH16" s="3" t="s">
        <v>53</v>
      </c>
      <c r="AI16" s="11"/>
      <c r="AJ16" s="4" t="s">
        <v>93</v>
      </c>
      <c r="AK16" s="6" t="s">
        <v>215</v>
      </c>
    </row>
    <row r="17" spans="2:37" x14ac:dyDescent="0.3">
      <c r="B17" s="22">
        <v>14</v>
      </c>
      <c r="C17" s="16" t="s">
        <v>218</v>
      </c>
      <c r="D17" s="17" t="s">
        <v>328</v>
      </c>
      <c r="E17" s="22" t="s">
        <v>329</v>
      </c>
      <c r="F17" s="17" t="s">
        <v>78</v>
      </c>
      <c r="G17" s="38" t="str">
        <f t="shared" si="0"/>
        <v>Early Stage</v>
      </c>
      <c r="H17" s="19">
        <v>200</v>
      </c>
      <c r="I17" s="24"/>
      <c r="J17" s="39">
        <v>0.01</v>
      </c>
      <c r="K17" s="39">
        <v>0.02</v>
      </c>
      <c r="L17" s="39">
        <v>0.03</v>
      </c>
      <c r="M17" s="39"/>
      <c r="N17" s="39"/>
      <c r="O17" s="39"/>
      <c r="P17" s="39"/>
      <c r="Q17" s="39"/>
      <c r="R17" s="39"/>
      <c r="S17" s="39"/>
      <c r="T17" s="39"/>
      <c r="U17" s="40">
        <f t="shared" si="1"/>
        <v>0.03</v>
      </c>
      <c r="V17" s="19"/>
      <c r="W17" s="22" t="s">
        <v>118</v>
      </c>
      <c r="X17" s="21"/>
      <c r="Y17" s="17"/>
      <c r="Z17" s="21"/>
      <c r="AA17" s="17"/>
      <c r="AB17" s="22" t="s">
        <v>104</v>
      </c>
      <c r="AC17" s="22" t="s">
        <v>118</v>
      </c>
      <c r="AD17" s="22" t="s">
        <v>118</v>
      </c>
      <c r="AE17" s="16"/>
      <c r="AF17" s="16"/>
      <c r="AG17" s="16" t="s">
        <v>330</v>
      </c>
      <c r="AH17" s="17" t="s">
        <v>53</v>
      </c>
      <c r="AI17" s="21"/>
      <c r="AJ17" s="22" t="s">
        <v>93</v>
      </c>
      <c r="AK17" s="16" t="s">
        <v>341</v>
      </c>
    </row>
    <row r="18" spans="2:37" x14ac:dyDescent="0.3">
      <c r="B18" s="4">
        <v>15</v>
      </c>
      <c r="C18" s="6" t="s">
        <v>222</v>
      </c>
      <c r="D18" s="3" t="s">
        <v>336</v>
      </c>
      <c r="E18" s="4" t="s">
        <v>329</v>
      </c>
      <c r="F18" s="3" t="s">
        <v>78</v>
      </c>
      <c r="G18" s="35" t="str">
        <f t="shared" si="0"/>
        <v>Early Stage</v>
      </c>
      <c r="H18" s="9">
        <v>200</v>
      </c>
      <c r="I18" s="13"/>
      <c r="J18" s="36">
        <v>0.01</v>
      </c>
      <c r="K18" s="36">
        <v>0.02</v>
      </c>
      <c r="L18" s="36"/>
      <c r="M18" s="36"/>
      <c r="N18" s="36"/>
      <c r="O18" s="36"/>
      <c r="P18" s="36"/>
      <c r="Q18" s="36"/>
      <c r="R18" s="36"/>
      <c r="S18" s="36"/>
      <c r="T18" s="36"/>
      <c r="U18" s="37">
        <f t="shared" si="1"/>
        <v>0.02</v>
      </c>
      <c r="V18" s="9"/>
      <c r="W18" s="4" t="s">
        <v>118</v>
      </c>
      <c r="X18" s="11"/>
      <c r="Y18" s="3"/>
      <c r="Z18" s="11"/>
      <c r="AA18" s="3"/>
      <c r="AB18" s="4" t="s">
        <v>104</v>
      </c>
      <c r="AC18" s="4" t="s">
        <v>118</v>
      </c>
      <c r="AD18" s="4" t="s">
        <v>118</v>
      </c>
      <c r="AE18" s="6"/>
      <c r="AF18" s="6"/>
      <c r="AG18" s="6" t="s">
        <v>330</v>
      </c>
      <c r="AH18" s="3" t="s">
        <v>53</v>
      </c>
      <c r="AI18" s="11"/>
      <c r="AJ18" s="4" t="s">
        <v>93</v>
      </c>
      <c r="AK18" s="6" t="s">
        <v>224</v>
      </c>
    </row>
    <row r="19" spans="2:37" x14ac:dyDescent="0.3">
      <c r="B19" s="22">
        <v>16</v>
      </c>
      <c r="C19" s="16" t="s">
        <v>226</v>
      </c>
      <c r="D19" s="17" t="s">
        <v>334</v>
      </c>
      <c r="E19" s="22" t="s">
        <v>329</v>
      </c>
      <c r="F19" s="17" t="s">
        <v>78</v>
      </c>
      <c r="G19" s="38" t="str">
        <f t="shared" si="0"/>
        <v>Early Stage</v>
      </c>
      <c r="H19" s="19">
        <v>150</v>
      </c>
      <c r="I19" s="24"/>
      <c r="J19" s="39">
        <v>0.01</v>
      </c>
      <c r="K19" s="39">
        <v>0.02</v>
      </c>
      <c r="L19" s="39"/>
      <c r="M19" s="39"/>
      <c r="N19" s="39"/>
      <c r="O19" s="39"/>
      <c r="P19" s="39"/>
      <c r="Q19" s="39"/>
      <c r="R19" s="39"/>
      <c r="S19" s="39"/>
      <c r="T19" s="39"/>
      <c r="U19" s="40">
        <f t="shared" si="1"/>
        <v>0.02</v>
      </c>
      <c r="V19" s="19"/>
      <c r="W19" s="22" t="s">
        <v>118</v>
      </c>
      <c r="X19" s="21"/>
      <c r="Y19" s="17"/>
      <c r="Z19" s="21"/>
      <c r="AA19" s="17"/>
      <c r="AB19" s="22" t="s">
        <v>104</v>
      </c>
      <c r="AC19" s="22" t="s">
        <v>118</v>
      </c>
      <c r="AD19" s="22" t="s">
        <v>118</v>
      </c>
      <c r="AE19" s="16"/>
      <c r="AF19" s="16"/>
      <c r="AG19" s="16" t="s">
        <v>330</v>
      </c>
      <c r="AH19" s="17" t="s">
        <v>53</v>
      </c>
      <c r="AI19" s="21"/>
      <c r="AJ19" s="22" t="s">
        <v>93</v>
      </c>
      <c r="AK19" s="16" t="s">
        <v>228</v>
      </c>
    </row>
    <row r="20" spans="2:37" x14ac:dyDescent="0.3">
      <c r="B20" s="4">
        <v>17</v>
      </c>
      <c r="C20" s="6" t="s">
        <v>230</v>
      </c>
      <c r="D20" s="3" t="s">
        <v>336</v>
      </c>
      <c r="E20" s="4" t="s">
        <v>329</v>
      </c>
      <c r="F20" s="3" t="s">
        <v>90</v>
      </c>
      <c r="G20" s="35" t="str">
        <f t="shared" si="0"/>
        <v>Early Stage</v>
      </c>
      <c r="H20" s="9">
        <v>1000</v>
      </c>
      <c r="I20" s="13"/>
      <c r="J20" s="36">
        <v>0.01</v>
      </c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>
        <f t="shared" si="1"/>
        <v>0.01</v>
      </c>
      <c r="V20" s="9"/>
      <c r="W20" s="4" t="s">
        <v>118</v>
      </c>
      <c r="X20" s="11"/>
      <c r="Y20" s="3"/>
      <c r="Z20" s="11"/>
      <c r="AA20" s="3"/>
      <c r="AB20" s="4" t="s">
        <v>104</v>
      </c>
      <c r="AC20" s="4" t="s">
        <v>118</v>
      </c>
      <c r="AD20" s="4" t="s">
        <v>118</v>
      </c>
      <c r="AE20" s="6"/>
      <c r="AF20" s="6"/>
      <c r="AG20" s="6" t="s">
        <v>330</v>
      </c>
      <c r="AH20" s="3" t="s">
        <v>53</v>
      </c>
      <c r="AI20" s="11"/>
      <c r="AJ20" s="4" t="s">
        <v>93</v>
      </c>
      <c r="AK20" s="6" t="s">
        <v>232</v>
      </c>
    </row>
    <row r="21" spans="2:37" x14ac:dyDescent="0.3">
      <c r="B21" s="28"/>
      <c r="C21" s="28"/>
      <c r="D21" s="28"/>
      <c r="E21" s="28"/>
      <c r="F21" s="28"/>
      <c r="G21" s="35" t="str">
        <f t="shared" si="0"/>
        <v/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37" t="str">
        <f t="shared" si="1"/>
        <v/>
      </c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</row>
  </sheetData>
  <mergeCells count="1">
    <mergeCell ref="B2:AK2"/>
  </mergeCells>
  <conditionalFormatting sqref="W4:W21">
    <cfRule type="cellIs" dxfId="55" priority="2" operator="equal">
      <formula>"Expired"</formula>
    </cfRule>
    <cfRule type="cellIs" dxfId="54" priority="3" operator="equal">
      <formula>"Expiring Soon"</formula>
    </cfRule>
    <cfRule type="cellIs" dxfId="53" priority="4" operator="equal">
      <formula>"Active"</formula>
    </cfRule>
    <cfRule type="cellIs" dxfId="52" priority="5" operator="equal">
      <formula>"In Negotiation"</formula>
    </cfRule>
  </conditionalFormatting>
  <conditionalFormatting sqref="AC4:AD21">
    <cfRule type="cellIs" dxfId="51" priority="8" operator="equal">
      <formula>"Complete"</formula>
    </cfRule>
    <cfRule type="cellIs" dxfId="50" priority="9" operator="equal">
      <formula>"In Progress"</formula>
    </cfRule>
    <cfRule type="cellIs" dxfId="49" priority="10" operator="equal">
      <formula>"Pending"</formula>
    </cfRule>
    <cfRule type="cellIs" dxfId="48" priority="11" operator="equal">
      <formula>"Not Started"</formula>
    </cfRule>
  </conditionalFormatting>
  <conditionalFormatting sqref="AJ4:AJ21">
    <cfRule type="cellIs" dxfId="47" priority="6" operator="equal">
      <formula>"Yes"</formula>
    </cfRule>
    <cfRule type="cellIs" dxfId="46" priority="7" operator="equal">
      <formula>"No"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errorTitle="Invalid entry" error="Pick a value from the list." xr:uid="{00000000-0002-0000-0500-000000000000}">
          <x14:formula1>
            <xm:f>'Lists &amp; Data Validation'!$C$5:$C$7</xm:f>
          </x14:formula1>
          <x14:formula2>
            <xm:f>0</xm:f>
          </x14:formula2>
          <xm:sqref>F4:F21</xm:sqref>
        </x14:dataValidation>
        <x14:dataValidation type="list" allowBlank="1" errorTitle="Invalid entry" error="Pick a value from the list." xr:uid="{00000000-0002-0000-0500-000001000000}">
          <x14:formula1>
            <xm:f>'Lists &amp; Data Validation'!$O$5:$O$11</xm:f>
          </x14:formula1>
          <x14:formula2>
            <xm:f>0</xm:f>
          </x14:formula2>
          <xm:sqref>W4:W21</xm:sqref>
        </x14:dataValidation>
        <x14:dataValidation type="list" allowBlank="1" errorTitle="Invalid entry" error="Pick a value from the list." xr:uid="{00000000-0002-0000-0500-000002000000}">
          <x14:formula1>
            <xm:f>'Lists &amp; Data Validation'!$T$5:$T$8</xm:f>
          </x14:formula1>
          <x14:formula2>
            <xm:f>0</xm:f>
          </x14:formula2>
          <xm:sqref>AB4:AB21</xm:sqref>
        </x14:dataValidation>
        <x14:dataValidation type="list" allowBlank="1" errorTitle="Invalid entry" error="Pick a value from the list." xr:uid="{00000000-0002-0000-0500-000003000000}">
          <x14:formula1>
            <xm:f>'Lists &amp; Data Validation'!$R$5:$R$8</xm:f>
          </x14:formula1>
          <x14:formula2>
            <xm:f>0</xm:f>
          </x14:formula2>
          <xm:sqref>AC4:AC21</xm:sqref>
        </x14:dataValidation>
        <x14:dataValidation type="list" allowBlank="1" errorTitle="Invalid entry" error="Pick a value from the list." xr:uid="{00000000-0002-0000-0500-000004000000}">
          <x14:formula1>
            <xm:f>'Lists &amp; Data Validation'!$S$5:$S$8</xm:f>
          </x14:formula1>
          <x14:formula2>
            <xm:f>0</xm:f>
          </x14:formula2>
          <xm:sqref>AD4:AD21</xm:sqref>
        </x14:dataValidation>
        <x14:dataValidation type="list" allowBlank="1" errorTitle="Invalid entry" error="Pick a value from the list." xr:uid="{00000000-0002-0000-0500-000005000000}">
          <x14:formula1>
            <xm:f>'Lists &amp; Data Validation'!$I$5:$I$13</xm:f>
          </x14:formula1>
          <x14:formula2>
            <xm:f>0</xm:f>
          </x14:formula2>
          <xm:sqref>AH4:AH21</xm:sqref>
        </x14:dataValidation>
        <x14:dataValidation type="list" allowBlank="1" errorTitle="Invalid entry" error="Pick a value from the list." xr:uid="{00000000-0002-0000-0500-000006000000}">
          <x14:formula1>
            <xm:f>'Lists &amp; Data Validation'!$J$5:$J$6</xm:f>
          </x14:formula1>
          <x14:formula2>
            <xm:f>0</xm:f>
          </x14:formula2>
          <xm:sqref>AJ4:AJ21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Lists &amp; Data Validation</vt:lpstr>
      <vt:lpstr>Opportunity Pipeline Tracker</vt:lpstr>
      <vt:lpstr>Commercial Operations Tracker</vt:lpstr>
      <vt:lpstr>Gas Business Tracker</vt:lpstr>
      <vt:lpstr>Power Business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DEL_Commercial</cp:lastModifiedBy>
  <cp:revision>2</cp:revision>
  <dcterms:created xsi:type="dcterms:W3CDTF">2026-05-30T13:34:18Z</dcterms:created>
  <dcterms:modified xsi:type="dcterms:W3CDTF">2026-06-02T13:54:11Z</dcterms:modified>
  <cp:category/>
  <cp:contentStatus/>
</cp:coreProperties>
</file>